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2AF7103E-7929-42B4-A8F0-B6C7FD12A4B0}" xr6:coauthVersionLast="47" xr6:coauthVersionMax="47" xr10:uidLastSave="{00000000-0000-0000-0000-000000000000}"/>
  <bookViews>
    <workbookView xWindow="-120" yWindow="-16320" windowWidth="29040" windowHeight="15720"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 i="1" l="1"/>
  <c r="V12" i="1"/>
  <c r="V11" i="1"/>
  <c r="V10" i="1"/>
  <c r="V7" i="1"/>
  <c r="V8" i="1"/>
  <c r="V9" i="1"/>
  <c r="V2" i="1"/>
  <c r="V3" i="1"/>
  <c r="V4" i="1"/>
  <c r="V5" i="1"/>
  <c r="V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<sst xmlns="http://schemas.openxmlformats.org/spreadsheetml/2006/main" count="86" uniqueCount="70">
  <si>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</si>
  <si>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</si>
  <si>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</si>
  <si>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</si>
  <si>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</si>
  <si>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</si>
  <si>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</si>
  <si>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</si>
  <si>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</si>
  <si>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</si>
  <si>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</si>
  <si>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</si>
  <si>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</si>
  <si>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</si>
  <si>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</si>
  <si>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</si>
  <si>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</si>
  <si>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</si>
  <si>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</si>
  <si>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</si>
  <si>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</si>
  <si>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</si>
  <si>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</si>
  <si>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</si>
  <si>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</si>
  <si>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</si>
  <si>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</si>
  <si>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</si>
  <si>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</si>
  <si>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</si>
  <si>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</si>
  <si>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</si>
  <si>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</si>
  <si>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</si>
  <si>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</si>
  <si>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</si>
  <si>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</si>
  <si>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</si>
  <si>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</si>
  <si>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</si>
  <si>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</si>
  <si>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</si>
  <si>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</si>
  <si>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</si>
  <si>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</si>
  <si>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</si>
  <si>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</si>
  <si>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</si>
  <si>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Hortolândia</t>
  </si>
  <si>
    <t>VZP NITRO</t>
  </si>
  <si>
    <t>NITRO</t>
  </si>
  <si>
    <t>KG</t>
  </si>
  <si>
    <t>rnc01</t>
  </si>
  <si>
    <t>rnc02</t>
  </si>
  <si>
    <t>510018</t>
  </si>
  <si>
    <t>260014</t>
  </si>
  <si>
    <t>DEVOLUÇÃO</t>
  </si>
  <si>
    <t>DEVOLUÇÃO CLIENTE</t>
  </si>
  <si>
    <t>DUAS CAIXAS AVARIADAS</t>
  </si>
  <si>
    <t>BOUVERIZ WP PRO N CX10X01KG</t>
  </si>
  <si>
    <t>Durante o processo de recebimento da devolução, foi identificada a seguinte não conformidade: A) O produto BOUVERIZ WP PRO N CX10X01KG (NF 11041, Lote 260014) apresentou 02 caixas avariadas. Embora o dano físico tenha sido constatado no ato da descarga, ressalta-se que não foram anexadas evidências fotográficas ao e-mail de aviso/instrução, o que pode dificultar a análise de causa raiz e a contestação junto à transportadora ou ao cliente. O material foi segregado para pesagem e conferência da integridade dos pacotes internos de 1kg.</t>
  </si>
  <si>
    <t>DATA DE VALIDADE DIVERGENTE</t>
  </si>
  <si>
    <t>04857</t>
  </si>
  <si>
    <t>Cuiabá</t>
  </si>
  <si>
    <t>REVITA 1000L</t>
  </si>
  <si>
    <t>VZP TRANSF CBA</t>
  </si>
  <si>
    <t>75392/26</t>
  </si>
  <si>
    <t>L</t>
  </si>
  <si>
    <t>IBC</t>
  </si>
  <si>
    <t>Durante o processo de recebimento de transferência, transportado pela Fantinato, foi identificada a seguinte inconsistência de rastreabilidade: A) O produto REVITA 1000L (NF 10833, Lote 75392/26), totalizando 3.000L (03 IBCs), apresentou divergência na data de validade. No ato da conferência física, constatou-se que a validade impressa nos tanques não condiz com a informação registrada na Nota Fiscal. O material foi segregado e bloqueado para que o setor responsável realize a correção documental ou a reetiquetagem conforme as normas de qualidade.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</si>
</sst>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8" tint="-0.499984740745262"/>
        <bgColor indexed="64"/>
      </patternFill>
    </fill>
    <fill>
      <patternFill patternType="solid">
        <fgColor theme="0" tint="-4.9989318521683403E-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49" fontId="13" fillId="5" borderId="2" xfId="0" applyNumberFormat="1" applyFont="1" applyFill="1" applyBorder="1" applyAlignment="1">
      <alignment horizontal="left"/>
    </xf>
    <xf numFmtId="49" fontId="12" fillId="5" borderId="0" xfId="0" applyNumberFormat="1" applyFont="1" applyFill="1" applyAlignment="1">
      <alignment horizontal="left"/>
    </xf>
    <xf numFmtId="49" fontId="2" fillId="5" borderId="0" xfId="0" applyNumberFormat="1" applyFont="1" applyFill="1" applyAlignment="1">
      <alignment horizontal="left"/>
    </xf>
    <xf numFmtId="49" fontId="0" fillId="0" borderId="2" xfId="0" applyNumberFormat="1" applyBorder="1" applyAlignment="1" applyProtection="1">
      <alignment horizontal="left"/>
      <protection locked="0"/>
    </xf>
    <xf numFmtId="0" fontId="0" fillId="0" borderId="2" xfId="0" applyBorder="1" applyAlignment="1" applyProtection="1">
      <alignment horizontal="left"/>
      <protection locked="0"/>
    </xf>
    <xf numFmtId="14" fontId="0" fillId="0" borderId="2" xfId="0" applyNumberFormat="1" applyBorder="1" applyAlignment="1" applyProtection="1">
      <alignment horizontal="left"/>
      <protection locked="0"/>
    </xf>
    <xf numFmtId="3" fontId="0" fillId="0" borderId="2" xfId="0" applyNumberFormat="1" applyBorder="1" applyAlignment="1" applyProtection="1">
      <alignment horizontal="left"/>
      <protection locked="0"/>
    </xf>
    <xf numFmtId="0" fontId="0" fillId="0" borderId="2" xfId="0" applyBorder="1" applyAlignment="1" applyProtection="1">
      <alignment horizontal="left" wrapText="1"/>
      <protection locked="0"/>
    </xf>
    <xf numFmtId="49" fontId="15" fillId="5" borderId="2" xfId="0" applyNumberFormat="1" applyFont="1" applyFill="1" applyBorder="1" applyAlignment="1">
      <alignment horizontal="left"/>
    </xf>
    <xf numFmtId="49" fontId="16" fillId="5" borderId="2" xfId="0" applyNumberFormat="1" applyFont="1" applyFill="1" applyBorder="1" applyAlignment="1">
      <alignment horizontal="left"/>
    </xf>
    <xf numFmtId="0" fontId="0" fillId="6" borderId="2" xfId="0" applyFill="1" applyBorder="1" applyAlignment="1" applyProtection="1">
      <alignment horizontal="left"/>
      <protection locked="0"/>
    </xf>
    <xf numFmtId="49" fontId="0" fillId="6" borderId="2" xfId="0" applyNumberFormat="1" applyFill="1" applyBorder="1" applyAlignment="1" applyProtection="1">
      <alignment horizontal="left"/>
      <protection locked="0"/>
    </xf>
    <xf numFmtId="14" fontId="0" fillId="6" borderId="2" xfId="0" applyNumberFormat="1" applyFill="1" applyBorder="1" applyAlignment="1" applyProtection="1">
      <alignment horizontal="left"/>
      <protection locked="0"/>
    </xf>
    <xf numFmtId="3" fontId="0" fillId="6" borderId="2" xfId="0" applyNumberFormat="1" applyFill="1" applyBorder="1" applyAlignment="1" applyProtection="1">
      <alignment horizontal="left"/>
      <protection locked="0"/>
    </xf>
    <xf numFmtId="0" fontId="0" fillId="6" borderId="2" xfId="0" applyFill="1" applyBorder="1" applyAlignment="1" applyProtection="1">
      <alignment horizontal="left" wrapText="1"/>
      <protection locked="0"/>
    </xf>
    <xf numFmtId="0" fontId="1" fillId="6" borderId="2" xfId="0" applyFont="1" applyFill="1" applyBorder="1" applyAlignment="1">
      <alignment horizontal="left"/>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abSelected="1" zoomScale="115" zoomScaleNormal="115" workbookViewId="0">
      <pane ySplit="1" topLeftCell="A2" activePane="bottomLeft" state="frozen"/>
      <selection activeCell="I1" sqref="I1"/>
      <selection pane="bottomLeft" activeCell="A3" sqref="A3"/>
    </sheetView>
  </sheetViews>
  <sheetFormatPr defaultColWidth="0" defaultRowHeight="19.95" customHeight="1" zeroHeight="1" x14ac:dyDescent="0.3"/>
  <cols>
    <col min="1" max="21" width="25.77734375" style="1" customWidth="1"/>
    <col min="22" max="22" width="25.77734375" style="1" hidden="1" customWidth="1"/>
    <col min="23" max="23" width="25.77734375" hidden="1" customWidth="1"/>
    <col min="24" max="16384" width="25.77734375" style="1" hidden="1"/>
  </cols>
  <sheetData>
    <row r="1" spans="1:23" s="15" customFormat="1" ht="19.95" customHeight="1" x14ac:dyDescent="0.3">
      <c r="A1" s="21" t="s">
        <v>47</v>
      </c>
      <c r="B1" s="21" t="s">
        <v>7</v>
      </c>
      <c r="C1" s="21" t="s">
        <v>40</v>
      </c>
      <c r="D1" s="22" t="s">
        <v>31</v>
      </c>
      <c r="E1" s="22" t="s">
        <v>4</v>
      </c>
      <c r="F1" s="22" t="s">
        <v>1</v>
      </c>
      <c r="G1" s="22" t="s">
        <v>10</v>
      </c>
      <c r="H1" s="22" t="s">
        <v>8</v>
      </c>
      <c r="I1" s="22" t="s">
        <v>0</v>
      </c>
      <c r="J1" s="22" t="s">
        <v>43</v>
      </c>
      <c r="K1" s="22" t="s">
        <v>42</v>
      </c>
      <c r="L1" s="22" t="s">
        <v>2</v>
      </c>
      <c r="M1" s="22" t="s">
        <v>45</v>
      </c>
      <c r="N1" s="22" t="s">
        <v>46</v>
      </c>
      <c r="O1" s="22" t="s">
        <v>44</v>
      </c>
      <c r="P1" s="22" t="s">
        <v>3</v>
      </c>
      <c r="Q1" s="22" t="s">
        <v>9</v>
      </c>
      <c r="R1" s="22" t="s">
        <v>26</v>
      </c>
      <c r="S1" s="22" t="s">
        <v>6</v>
      </c>
      <c r="T1" s="22" t="s">
        <v>5</v>
      </c>
      <c r="U1" s="22" t="s">
        <v>32</v>
      </c>
      <c r="V1" s="13" t="s">
        <v>29</v>
      </c>
      <c r="W1" s="14"/>
    </row>
    <row r="2" spans="1:23" s="9" customFormat="1" ht="19.95" customHeight="1" x14ac:dyDescent="0.3">
      <c r="A2" s="17" t="s">
        <v>58</v>
      </c>
      <c r="B2" s="17">
        <v>370</v>
      </c>
      <c r="C2" s="17" t="s">
        <v>52</v>
      </c>
      <c r="D2" s="16" t="s">
        <v>54</v>
      </c>
      <c r="E2" s="17" t="s">
        <v>48</v>
      </c>
      <c r="F2" s="17" t="s">
        <v>59</v>
      </c>
      <c r="G2" s="17" t="s">
        <v>57</v>
      </c>
      <c r="H2" s="17" t="s">
        <v>57</v>
      </c>
      <c r="I2" s="17">
        <v>11041</v>
      </c>
      <c r="J2" s="18">
        <v>46070</v>
      </c>
      <c r="K2" s="18">
        <v>46435</v>
      </c>
      <c r="L2" s="16" t="s">
        <v>55</v>
      </c>
      <c r="M2" s="18">
        <v>46070</v>
      </c>
      <c r="N2" s="18">
        <v>46435</v>
      </c>
      <c r="O2" s="16" t="s">
        <v>55</v>
      </c>
      <c r="P2" s="19">
        <v>20</v>
      </c>
      <c r="Q2" s="17" t="s">
        <v>51</v>
      </c>
      <c r="R2" s="17" t="s">
        <v>37</v>
      </c>
      <c r="S2" s="20" t="s">
        <v>60</v>
      </c>
      <c r="T2" s="17" t="s">
        <v>11</v>
      </c>
      <c r="U2" s="17" t="s">
        <v>56</v>
      </c>
      <c r="V2" s="10" t="str">
        <f>IF(B2="",0,VLOOKUP(T2,Planilha1!$A$2:$B$14,2,FALSE))</f>
        <v>AVARIA</v>
      </c>
      <c r="W2"/>
    </row>
    <row r="3" spans="1:23" s="9" customFormat="1" ht="19.95" customHeight="1" x14ac:dyDescent="0.3">
      <c r="A3" s="17" t="s">
        <v>61</v>
      </c>
      <c r="B3" s="17">
        <v>371</v>
      </c>
      <c r="C3" s="17" t="s">
        <v>53</v>
      </c>
      <c r="D3" s="16" t="s">
        <v>62</v>
      </c>
      <c r="E3" s="17" t="s">
        <v>63</v>
      </c>
      <c r="F3" s="17" t="s">
        <v>64</v>
      </c>
      <c r="G3" s="17" t="s">
        <v>65</v>
      </c>
      <c r="H3" s="17" t="s">
        <v>49</v>
      </c>
      <c r="I3" s="17">
        <v>10833</v>
      </c>
      <c r="J3" s="18">
        <v>46099</v>
      </c>
      <c r="K3" s="18">
        <v>46830</v>
      </c>
      <c r="L3" s="16" t="s">
        <v>66</v>
      </c>
      <c r="M3" s="18">
        <v>46099</v>
      </c>
      <c r="N3" s="18">
        <v>47195</v>
      </c>
      <c r="O3" s="16" t="s">
        <v>66</v>
      </c>
      <c r="P3" s="19">
        <v>3000</v>
      </c>
      <c r="Q3" s="17" t="s">
        <v>67</v>
      </c>
      <c r="R3" s="17" t="s">
        <v>68</v>
      </c>
      <c r="S3" s="20" t="s">
        <v>69</v>
      </c>
      <c r="T3" s="17" t="s">
        <v>17</v>
      </c>
      <c r="U3" s="17" t="s">
        <v>50</v>
      </c>
      <c r="V3" s="10" t="str">
        <f>IF(B3="",0,VLOOKUP(T3,Planilha1!$A$2:$B$14,2,FALSE))</f>
        <v>PROCESSO</v>
      </c>
      <c r="W3"/>
    </row>
    <row r="4" spans="1:23" s="9" customFormat="1" ht="19.95" customHeight="1" x14ac:dyDescent="0.3">
      <c r="A4" s="17"/>
      <c r="B4" s="17"/>
      <c r="C4" s="17"/>
      <c r="D4" s="16"/>
      <c r="E4" s="17"/>
      <c r="F4" s="17"/>
      <c r="G4" s="17"/>
      <c r="H4" s="17"/>
      <c r="I4" s="17"/>
      <c r="J4" s="18"/>
      <c r="K4" s="18"/>
      <c r="L4" s="16"/>
      <c r="M4" s="18"/>
      <c r="N4" s="18"/>
      <c r="O4" s="16"/>
      <c r="P4" s="19"/>
      <c r="Q4" s="17"/>
      <c r="R4" s="17"/>
      <c r="S4" s="20"/>
      <c r="T4" s="17"/>
      <c r="U4" s="17"/>
      <c r="V4" s="10">
        <f>IF(B4="",0,VLOOKUP(T4,Planilha1!$A$2:$B$14,2,FALSE))</f>
        <v>0</v>
      </c>
      <c r="W4"/>
    </row>
    <row r="5" spans="1:23" s="9" customFormat="1" ht="19.95" customHeight="1" x14ac:dyDescent="0.3">
      <c r="A5" s="17"/>
      <c r="B5" s="17"/>
      <c r="C5" s="17"/>
      <c r="D5" s="16"/>
      <c r="E5" s="17"/>
      <c r="F5" s="17"/>
      <c r="G5" s="17"/>
      <c r="H5" s="17"/>
      <c r="I5" s="17"/>
      <c r="J5" s="18"/>
      <c r="K5" s="18"/>
      <c r="L5" s="16"/>
      <c r="M5" s="18"/>
      <c r="N5" s="18"/>
      <c r="O5" s="16"/>
      <c r="P5" s="19"/>
      <c r="Q5" s="17"/>
      <c r="R5" s="17"/>
      <c r="S5" s="20"/>
      <c r="T5" s="17"/>
      <c r="U5" s="17"/>
      <c r="V5" s="10">
        <f>IF(B5="",0,VLOOKUP(T5,Planilha1!$A$2:$B$14,2,FALSE))</f>
        <v>0</v>
      </c>
      <c r="W5"/>
    </row>
    <row r="6" spans="1:23" s="9" customFormat="1" ht="19.95" customHeight="1" x14ac:dyDescent="0.3">
      <c r="A6" s="23"/>
      <c r="B6" s="23"/>
      <c r="C6" s="23"/>
      <c r="D6" s="24"/>
      <c r="E6" s="23"/>
      <c r="F6" s="23"/>
      <c r="G6" s="23"/>
      <c r="H6" s="23"/>
      <c r="I6" s="23"/>
      <c r="J6" s="25"/>
      <c r="K6" s="25"/>
      <c r="L6" s="24"/>
      <c r="M6" s="25"/>
      <c r="N6" s="25"/>
      <c r="O6" s="24"/>
      <c r="P6" s="26"/>
      <c r="Q6" s="23"/>
      <c r="R6" s="23"/>
      <c r="S6" s="27"/>
      <c r="T6" s="23"/>
      <c r="U6" s="23"/>
      <c r="V6" s="28">
        <f>IF(B6="",0,VLOOKUP(T6,Planilha1!$A$2:$B$14,2,FALSE))</f>
        <v>0</v>
      </c>
      <c r="W6"/>
    </row>
    <row r="7" spans="1:23" ht="19.95" customHeight="1" x14ac:dyDescent="0.3">
      <c r="A7" s="23"/>
      <c r="B7" s="23"/>
      <c r="C7" s="23"/>
      <c r="D7" s="24"/>
      <c r="E7" s="23"/>
      <c r="F7" s="23"/>
      <c r="G7" s="23"/>
      <c r="H7" s="23"/>
      <c r="I7" s="23"/>
      <c r="J7" s="25"/>
      <c r="K7" s="25"/>
      <c r="L7" s="24"/>
      <c r="M7" s="25"/>
      <c r="N7" s="25"/>
      <c r="O7" s="24"/>
      <c r="P7" s="26"/>
      <c r="Q7" s="23"/>
      <c r="R7" s="23"/>
      <c r="S7" s="27"/>
      <c r="T7" s="23"/>
      <c r="U7" s="23"/>
      <c r="V7" s="28">
        <f>IF(B7="",0,VLOOKUP(T7,Planilha1!$A$2:$B$14,2,FALSE))</f>
        <v>0</v>
      </c>
    </row>
    <row r="8" spans="1:23" ht="19.95" customHeight="1" x14ac:dyDescent="0.3">
      <c r="A8" s="23"/>
      <c r="B8" s="23"/>
      <c r="C8" s="23"/>
      <c r="D8" s="24"/>
      <c r="E8" s="23"/>
      <c r="F8" s="23"/>
      <c r="G8" s="23"/>
      <c r="H8" s="23"/>
      <c r="I8" s="23"/>
      <c r="J8" s="25"/>
      <c r="K8" s="25"/>
      <c r="L8" s="24"/>
      <c r="M8" s="25"/>
      <c r="N8" s="25"/>
      <c r="O8" s="24"/>
      <c r="P8" s="26"/>
      <c r="Q8" s="23"/>
      <c r="R8" s="23"/>
      <c r="S8" s="27"/>
      <c r="T8" s="23"/>
      <c r="U8" s="23"/>
      <c r="V8" s="28">
        <f>IF(B8="",0,VLOOKUP(T8,Planilha1!$A$2:$B$14,2,FALSE))</f>
        <v>0</v>
      </c>
    </row>
    <row r="9" spans="1:23" ht="19.95" customHeight="1" x14ac:dyDescent="0.3">
      <c r="A9" s="23"/>
      <c r="B9" s="23"/>
      <c r="C9" s="23"/>
      <c r="D9" s="24"/>
      <c r="E9" s="23"/>
      <c r="F9" s="23"/>
      <c r="G9" s="23"/>
      <c r="H9" s="23"/>
      <c r="I9" s="23"/>
      <c r="J9" s="25"/>
      <c r="K9" s="25"/>
      <c r="L9" s="24"/>
      <c r="M9" s="25"/>
      <c r="N9" s="25"/>
      <c r="O9" s="24"/>
      <c r="P9" s="26"/>
      <c r="Q9" s="23"/>
      <c r="R9" s="23"/>
      <c r="S9" s="27"/>
      <c r="T9" s="23"/>
      <c r="U9" s="23"/>
      <c r="V9" s="28">
        <f>IF(B9="",0,VLOOKUP(T9,Planilha1!$A$2:$B$14,2,FALSE))</f>
        <v>0</v>
      </c>
    </row>
    <row r="10" spans="1:23" ht="19.95" customHeight="1" x14ac:dyDescent="0.3">
      <c r="A10" s="17"/>
      <c r="B10" s="17"/>
      <c r="C10" s="17"/>
      <c r="D10" s="16"/>
      <c r="E10" s="17"/>
      <c r="F10" s="17"/>
      <c r="G10" s="17"/>
      <c r="H10" s="17"/>
      <c r="I10" s="17"/>
      <c r="J10" s="18"/>
      <c r="K10" s="18"/>
      <c r="L10" s="16"/>
      <c r="M10" s="18"/>
      <c r="N10" s="18"/>
      <c r="O10" s="16"/>
      <c r="P10" s="19"/>
      <c r="Q10" s="17"/>
      <c r="R10" s="17"/>
      <c r="S10" s="20"/>
      <c r="T10" s="17"/>
      <c r="U10" s="17"/>
      <c r="V10" s="10">
        <f>IF(B10="",0,VLOOKUP(T10,Planilha1!$A$2:$B$14,2,FALSE))</f>
        <v>0</v>
      </c>
    </row>
    <row r="11" spans="1:23" ht="19.95" customHeight="1" x14ac:dyDescent="0.3">
      <c r="A11" s="17"/>
      <c r="B11" s="17"/>
      <c r="C11" s="17"/>
      <c r="D11" s="16"/>
      <c r="E11" s="17"/>
      <c r="F11" s="17"/>
      <c r="G11" s="17"/>
      <c r="H11" s="17"/>
      <c r="I11" s="17"/>
      <c r="J11" s="18"/>
      <c r="K11" s="18"/>
      <c r="L11" s="16"/>
      <c r="M11" s="18"/>
      <c r="N11" s="18"/>
      <c r="O11" s="16"/>
      <c r="P11" s="19"/>
      <c r="Q11" s="17"/>
      <c r="R11" s="17"/>
      <c r="S11" s="20"/>
      <c r="T11" s="17"/>
      <c r="U11" s="17"/>
      <c r="V11" s="10">
        <f>IF(B11="",0,VLOOKUP(T11,Planilha1!$A$2:$B$14,2,FALSE))</f>
        <v>0</v>
      </c>
    </row>
    <row r="12" spans="1:23" ht="19.95" customHeight="1" x14ac:dyDescent="0.3">
      <c r="A12" s="17"/>
      <c r="B12" s="17"/>
      <c r="C12" s="17"/>
      <c r="D12" s="16"/>
      <c r="E12" s="17"/>
      <c r="F12" s="17"/>
      <c r="G12" s="17"/>
      <c r="H12" s="17"/>
      <c r="I12" s="17"/>
      <c r="J12" s="18"/>
      <c r="K12" s="18"/>
      <c r="L12" s="16"/>
      <c r="M12" s="18"/>
      <c r="N12" s="18"/>
      <c r="O12" s="16"/>
      <c r="P12" s="19"/>
      <c r="Q12" s="17"/>
      <c r="R12" s="17"/>
      <c r="S12" s="20"/>
      <c r="T12" s="17"/>
      <c r="U12" s="17"/>
      <c r="V12" s="10">
        <f>IF(B12="",0,VLOOKUP(T12,Planilha1!$A$2:$B$14,2,FALSE))</f>
        <v>0</v>
      </c>
    </row>
    <row r="13" spans="1:23" ht="19.95" customHeight="1" x14ac:dyDescent="0.3">
      <c r="A13" s="17"/>
      <c r="B13" s="17"/>
      <c r="C13" s="17"/>
      <c r="D13" s="16"/>
      <c r="E13" s="17"/>
      <c r="F13" s="17"/>
      <c r="G13" s="17"/>
      <c r="H13" s="17"/>
      <c r="I13" s="17"/>
      <c r="J13" s="18"/>
      <c r="K13" s="18"/>
      <c r="L13" s="16"/>
      <c r="M13" s="18"/>
      <c r="N13" s="18"/>
      <c r="O13" s="16"/>
      <c r="P13" s="19"/>
      <c r="Q13" s="17"/>
      <c r="R13" s="17"/>
      <c r="S13" s="20"/>
      <c r="T13" s="17"/>
      <c r="U13" s="17"/>
      <c r="V13" s="10">
        <f>IF(B13="",0,VLOOKUP(T13,Planilha1!$A$2:$B$14,2,FALSE))</f>
        <v>0</v>
      </c>
    </row>
  </sheetData>
  <phoneticPr fontId="14" type="noConversion"/>
  <conditionalFormatting sqref="I1:I1048576">
    <cfRule type="duplicateValues" dxfId="0" priority="1"/>
  </conditionalFormatting>
  <dataValidations count="6">
    <dataValidation type="list" allowBlank="1" showInputMessage="1" showErrorMessage="1" sqref="Q2:Q13" xr:uid="{AEBEAE45-30D1-4542-A1D6-EBC88D16BDC1}">
      <formula1>"KG, L, Ds"</formula1>
    </dataValidation>
    <dataValidation type="list" allowBlank="1" showInputMessage="1" showErrorMessage="1" sqref="U2:V13" xr:uid="{515AD032-001C-4B14-8366-B098E8D106E9}">
      <formula1>"NITRO, FORNECEDOR, DEVOLUÇÃO"</formula1>
    </dataValidation>
    <dataValidation type="list" allowBlank="1" showInputMessage="1" showErrorMessage="1" sqref="R2:R13" xr:uid="{9224D280-D2F8-4702-BD9E-3A2E00F78617}">
      <formula1>"Saco, Bombona, Palete, Caixa, Big Bag, Galão, IBC"</formula1>
    </dataValidation>
    <dataValidation type="list" allowBlank="1" showInputMessage="1" showErrorMessage="1" sqref="G2:G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G2:G13 E2:E13" xr:uid="{A9DDEBF6-CC05-4C4C-B66F-05CC7D4CAF45}">
      <formula1>"Cuiabá, Hortolândia"</formula1>
    </dataValidation>
    <dataValidation type="list" allowBlank="1" showInputMessage="1" showErrorMessage="1" sqref="H2:H13"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33</v>
      </c>
      <c r="F1" s="11" t="s">
        <v>30</v>
      </c>
    </row>
    <row r="2" spans="1:6" ht="19.95" customHeight="1" x14ac:dyDescent="0.3">
      <c r="A2" s="3" t="s">
        <v>11</v>
      </c>
      <c r="B2" s="12" t="s">
        <v>25</v>
      </c>
      <c r="D2" s="6"/>
    </row>
    <row r="3" spans="1:6" ht="19.95" customHeight="1" x14ac:dyDescent="0.3">
      <c r="A3" s="3" t="s">
        <v>12</v>
      </c>
      <c r="B3" s="12" t="s">
        <v>25</v>
      </c>
      <c r="D3" s="7" t="s">
        <v>34</v>
      </c>
      <c r="F3" s="12"/>
    </row>
    <row r="4" spans="1:6" ht="19.95" customHeight="1" x14ac:dyDescent="0.3">
      <c r="A4" s="3" t="s">
        <v>13</v>
      </c>
      <c r="B4" s="12" t="s">
        <v>41</v>
      </c>
      <c r="D4" s="7" t="s">
        <v>35</v>
      </c>
    </row>
    <row r="5" spans="1:6" ht="19.95" customHeight="1" x14ac:dyDescent="0.3">
      <c r="A5" s="3" t="s">
        <v>14</v>
      </c>
      <c r="B5" s="12" t="s">
        <v>41</v>
      </c>
      <c r="D5" s="8" t="s">
        <v>36</v>
      </c>
    </row>
    <row r="6" spans="1:6" ht="19.95" customHeight="1" x14ac:dyDescent="0.3">
      <c r="A6" s="3" t="s">
        <v>15</v>
      </c>
      <c r="B6" s="12" t="s">
        <v>41</v>
      </c>
      <c r="D6" s="7" t="s">
        <v>37</v>
      </c>
    </row>
    <row r="7" spans="1:6" ht="19.95" customHeight="1" x14ac:dyDescent="0.3">
      <c r="A7" s="3" t="s">
        <v>16</v>
      </c>
      <c r="B7" s="12" t="s">
        <v>41</v>
      </c>
      <c r="D7" s="7" t="s">
        <v>39</v>
      </c>
      <c r="F7"/>
    </row>
    <row r="8" spans="1:6" ht="19.95" customHeight="1" x14ac:dyDescent="0.3">
      <c r="A8" s="3" t="s">
        <v>17</v>
      </c>
      <c r="B8" s="12" t="s">
        <v>27</v>
      </c>
      <c r="D8" s="7" t="s">
        <v>38</v>
      </c>
      <c r="F8"/>
    </row>
    <row r="9" spans="1:6" ht="19.95" customHeight="1" x14ac:dyDescent="0.3">
      <c r="A9" s="3" t="s">
        <v>18</v>
      </c>
      <c r="B9" s="12" t="s">
        <v>27</v>
      </c>
      <c r="D9"/>
      <c r="F9"/>
    </row>
    <row r="10" spans="1:6" ht="19.95" customHeight="1" x14ac:dyDescent="0.3">
      <c r="A10" s="3" t="s">
        <v>19</v>
      </c>
      <c r="B10" s="12" t="s">
        <v>27</v>
      </c>
      <c r="D10"/>
      <c r="F10"/>
    </row>
    <row r="11" spans="1:6" ht="19.95" customHeight="1" x14ac:dyDescent="0.3">
      <c r="A11" s="3" t="s">
        <v>20</v>
      </c>
      <c r="B11" s="12" t="s">
        <v>27</v>
      </c>
      <c r="D11"/>
      <c r="F11"/>
    </row>
    <row r="12" spans="1:6" ht="19.95" customHeight="1" x14ac:dyDescent="0.3">
      <c r="A12" s="3" t="s">
        <v>21</v>
      </c>
      <c r="B12" s="12" t="s">
        <v>27</v>
      </c>
      <c r="D12"/>
      <c r="F12"/>
    </row>
    <row r="13" spans="1:6" ht="19.95" customHeight="1" x14ac:dyDescent="0.3">
      <c r="A13" s="3" t="s">
        <v>22</v>
      </c>
      <c r="B13" s="12" t="s">
        <v>28</v>
      </c>
      <c r="D13"/>
      <c r="F13"/>
    </row>
    <row r="14" spans="1:6" ht="19.95" customHeight="1" x14ac:dyDescent="0.3">
      <c r="A14" s="3" t="s">
        <v>23</v>
      </c>
      <c r="B14" s="12"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2026-04-13T14:43:27Z</dcterms:modified>
</cp:coreProperties>
</file>