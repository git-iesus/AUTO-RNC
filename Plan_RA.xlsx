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iesus.candido\Desktop\RNC-RA\"/>
    </mc:Choice>
  </mc:AlternateContent>
  <xr:revisionPtr revIDLastSave="0" documentId="13_ncr:1_{2608E31C-995D-49BD-AD8F-CF18D80D7C59}" xr6:coauthVersionLast="47" xr6:coauthVersionMax="47" xr10:uidLastSave="{00000000-0000-0000-0000-000000000000}"/>
  <bookViews>
    <workbookView xWindow="-108" yWindow="-108" windowWidth="23256" windowHeight="12456" xr2:uid="{00000000-000D-0000-FFFF-FFFF00000000}"/>
  </bookViews>
  <sheets>
    <sheet name="Plan1" sheetId="1" r:id="rId1"/>
    <sheet name="Planilha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2" i="1"/>
  <c r="AB5" i="1"/>
  <c r="AB6" i="1"/>
</calcChain>
</file>

<file path=xl/sharedStrings.xml><?xml version="1.0" encoding="utf-8"?>
<sst xmlns="http://schemas.openxmlformats.org/spreadsheetml/2006/main" count="36" uniqueCount="35">
  <si>
    <t>PASTA-ANEXOS</t>
  </si>
  <si>
    <t>SKU</t>
  </si>
  <si>
    <t>NUM-RA</t>
  </si>
  <si>
    <t>MOMENTO</t>
  </si>
  <si>
    <t>NF-RECEBIMENTO</t>
  </si>
  <si>
    <t>NOME-PRODUTO</t>
  </si>
  <si>
    <t>CODIGO-PRODUTO</t>
  </si>
  <si>
    <t>LOTE</t>
  </si>
  <si>
    <t>QUANTIDADE</t>
  </si>
  <si>
    <t>DESCRICAO</t>
  </si>
  <si>
    <t>RESPONSAVEL</t>
  </si>
  <si>
    <t>AUTO</t>
  </si>
  <si>
    <t>UNI-MEDIDA</t>
  </si>
  <si>
    <t>DATA-FABRI</t>
  </si>
  <si>
    <t>DATA-VALI</t>
  </si>
  <si>
    <t>UNIDADE-OCORRIDO</t>
  </si>
  <si>
    <t>UNIDADE-RESPONSAVEL</t>
  </si>
  <si>
    <t>TIPO-AVARIA</t>
  </si>
  <si>
    <t>TIPO-EMBALAGEM</t>
  </si>
  <si>
    <t>Rasgada /Amassada</t>
  </si>
  <si>
    <t>KG</t>
  </si>
  <si>
    <t>Sacaria</t>
  </si>
  <si>
    <t>117</t>
  </si>
  <si>
    <t>ra-01</t>
  </si>
  <si>
    <t>MMCM - HOR</t>
  </si>
  <si>
    <t>Expedição - Carregamento</t>
  </si>
  <si>
    <t>5283</t>
  </si>
  <si>
    <t>SPEED CITROS SCX25KG</t>
  </si>
  <si>
    <t>05026</t>
  </si>
  <si>
    <t>6925935</t>
  </si>
  <si>
    <t>59691/24</t>
  </si>
  <si>
    <t>01/10/2024</t>
  </si>
  <si>
    <t>01/10/2026</t>
  </si>
  <si>
    <t>Durante o processo de carregamento, foi identificada a seguinte Avaria: A) O produto SPEED CITROS SCX25KG (NF 5283, Lote 59691/24) apresentou 25kg avariados (1 saco). No momento da estiva/movimentação para o veículo, a sacaria foi rasgada, comprometendo a integridade da embalagem e impossibilitando o envio ao cliente. O volume foi retirado da carga para segregação e posterior processo de bloqueio e recondicionamento.</t>
  </si>
  <si>
    <t>Leonardo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</si>
</sst>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Calibri"/>
      <family val="2"/>
      <scheme val="minor"/>
    </font>
    <font>
      <u/>
      <sz val="12"/>
      <color theme="0"/>
      <name val="Calibri"/>
      <family val="2"/>
      <scheme val="minor"/>
    </font>
    <font>
      <sz val="11"/>
      <name val="Calibri"/>
      <family val="2"/>
      <scheme val="minor"/>
    </font>
    <font>
      <sz val="12"/>
      <color rgb="FFFF0000"/>
      <name val="Calibri"/>
      <family val="2"/>
      <scheme val="minor"/>
    </font>
    <font>
      <b/>
      <u/>
      <sz val="12"/>
      <color theme="0"/>
      <name val="Calibri"/>
      <family val="2"/>
      <scheme val="minor"/>
    </font>
    <font>
      <b/>
      <u/>
      <sz val="12"/>
      <color rgb="FFFFC000"/>
      <name val="Calibri"/>
      <family val="2"/>
      <scheme val="minor"/>
    </font>
    <font>
      <b/>
      <u/>
      <sz val="12"/>
      <color theme="1"/>
      <name val="Calibri"/>
      <family val="2"/>
      <scheme val="minor"/>
    </font>
    <font>
      <sz val="8"/>
      <name val="Calibri"/>
      <family val="2"/>
      <scheme val="minor"/>
    </font>
    <font>
      <b/>
      <sz val="10"/>
      <color rgb="FFFFFF00"/>
      <name val="Calibri"/>
      <family val="2"/>
      <scheme val="minor"/>
    </font>
    <font>
      <b/>
      <sz val="10"/>
      <color theme="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rgb="FF094527"/>
        <bgColor indexed="64"/>
      </patternFill>
    </fill>
    <fill>
      <patternFill patternType="solid">
        <fgColor rgb="FF158D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49" fontId="1" fillId="0" borderId="0" xfId="0" applyNumberFormat="1" applyFont="1" applyAlignment="1">
      <alignment horizontal="left"/>
    </xf>
    <xf numFmtId="0" fontId="3" fillId="0" borderId="0" xfId="0" applyFont="1"/>
    <xf numFmtId="0" fontId="1" fillId="0" borderId="0" xfId="0" applyFont="1" applyAlignment="1">
      <alignment horizontal="left"/>
    </xf>
    <xf numFmtId="0" fontId="1" fillId="0" borderId="1" xfId="0" applyFont="1" applyBorder="1" applyAlignment="1" applyProtection="1">
      <alignment horizontal="left"/>
      <protection locked="0"/>
    </xf>
    <xf numFmtId="14" fontId="1" fillId="0" borderId="1" xfId="0" applyNumberFormat="1" applyFont="1" applyBorder="1" applyAlignment="1" applyProtection="1">
      <alignment horizontal="left"/>
      <protection locked="0"/>
    </xf>
    <xf numFmtId="0" fontId="1" fillId="0" borderId="1" xfId="0" applyFont="1" applyBorder="1" applyAlignment="1">
      <alignment horizontal="left"/>
    </xf>
    <xf numFmtId="0" fontId="1" fillId="0" borderId="1" xfId="0" applyFont="1" applyBorder="1" applyAlignment="1" applyProtection="1">
      <alignment horizontal="left" wrapText="1"/>
      <protection locked="0"/>
    </xf>
    <xf numFmtId="49" fontId="1" fillId="0" borderId="1" xfId="0" applyNumberFormat="1" applyFont="1" applyBorder="1" applyAlignment="1" applyProtection="1">
      <alignment horizontal="left"/>
      <protection locked="0"/>
    </xf>
    <xf numFmtId="3" fontId="1" fillId="0" borderId="1" xfId="0" applyNumberFormat="1" applyFont="1" applyBorder="1" applyAlignment="1" applyProtection="1">
      <alignment horizontal="left"/>
      <protection locked="0"/>
    </xf>
    <xf numFmtId="49" fontId="5" fillId="3" borderId="1" xfId="0" applyNumberFormat="1" applyFont="1" applyFill="1" applyBorder="1" applyAlignment="1">
      <alignment horizontal="left"/>
    </xf>
    <xf numFmtId="49" fontId="6" fillId="3" borderId="1" xfId="0" applyNumberFormat="1" applyFont="1" applyFill="1" applyBorder="1" applyAlignment="1">
      <alignment horizontal="left"/>
    </xf>
    <xf numFmtId="49" fontId="7" fillId="3" borderId="1" xfId="0" applyNumberFormat="1" applyFont="1" applyFill="1" applyBorder="1" applyAlignment="1">
      <alignment horizontal="left"/>
    </xf>
    <xf numFmtId="49" fontId="4" fillId="3" borderId="0" xfId="0" applyNumberFormat="1" applyFont="1" applyFill="1" applyAlignment="1">
      <alignment horizontal="left"/>
    </xf>
    <xf numFmtId="49" fontId="2" fillId="3" borderId="0" xfId="0" applyNumberFormat="1" applyFont="1" applyFill="1" applyAlignment="1">
      <alignment horizontal="left"/>
    </xf>
    <xf numFmtId="49" fontId="9" fillId="4" borderId="1" xfId="0" applyNumberFormat="1" applyFont="1" applyFill="1" applyBorder="1" applyAlignment="1">
      <alignment horizontal="left"/>
    </xf>
    <xf numFmtId="49" fontId="10" fillId="4" borderId="1" xfId="0" applyNumberFormat="1" applyFont="1" applyFill="1" applyBorder="1" applyAlignment="1">
      <alignment horizontal="left"/>
    </xf>
    <xf numFmtId="49" fontId="0" fillId="2" borderId="1" xfId="0" applyNumberFormat="1" applyFill="1" applyBorder="1" applyAlignment="1" applyProtection="1">
      <alignment horizontal="left"/>
      <protection locked="0"/>
    </xf>
    <xf numFmtId="49" fontId="0" fillId="0" borderId="1" xfId="0" applyNumberFormat="1" applyBorder="1" applyAlignment="1" applyProtection="1">
      <alignment horizontal="left"/>
      <protection locked="0"/>
    </xf>
    <xf numFmtId="0" fontId="0" fillId="2" borderId="1" xfId="0" applyFill="1" applyBorder="1" applyAlignment="1" applyProtection="1">
      <alignment horizontal="left"/>
      <protection locked="0"/>
    </xf>
    <xf numFmtId="0" fontId="0" fillId="0" borderId="1" xfId="0" applyBorder="1" applyAlignment="1" applyProtection="1">
      <alignment horizontal="left"/>
      <protection locked="0"/>
    </xf>
    <xf numFmtId="14" fontId="0" fillId="0" borderId="1" xfId="0" applyNumberFormat="1" applyBorder="1" applyAlignment="1" applyProtection="1">
      <alignment horizontal="left"/>
      <protection locked="0"/>
    </xf>
    <xf numFmtId="1" fontId="0" fillId="0" borderId="1" xfId="0" applyNumberFormat="1" applyBorder="1" applyAlignment="1" applyProtection="1">
      <alignment horizontal="left"/>
      <protection locked="0"/>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58D62"/>
      <color rgb="FF094527"/>
      <color rgb="FF0E8449"/>
      <color rgb="FF15CD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
  <sheetViews>
    <sheetView tabSelected="1" topLeftCell="K1" zoomScaleNormal="100" workbookViewId="0">
      <selection activeCell="Q2" sqref="Q2"/>
    </sheetView>
  </sheetViews>
  <sheetFormatPr defaultColWidth="0" defaultRowHeight="19.95" customHeight="1" zeroHeight="1" x14ac:dyDescent="0.3"/>
  <cols>
    <col min="1" max="18" width="25.77734375" style="1" customWidth="1"/>
    <col min="19" max="28" width="25.77734375" style="1" hidden="1"/>
    <col min="29" max="29" width="25.77734375" hidden="1"/>
    <col min="30" max="16384" width="25.77734375" style="1" hidden="1"/>
  </cols>
  <sheetData>
    <row r="1" spans="1:29" s="14" customFormat="1" ht="19.95" customHeight="1" x14ac:dyDescent="0.3">
      <c r="A1" s="15" t="s">
        <v>17</v>
      </c>
      <c r="B1" s="15" t="s">
        <v>2</v>
      </c>
      <c r="C1" s="15" t="s">
        <v>0</v>
      </c>
      <c r="D1" s="16" t="s">
        <v>15</v>
      </c>
      <c r="E1" s="16" t="s">
        <v>16</v>
      </c>
      <c r="F1" s="16" t="s">
        <v>3</v>
      </c>
      <c r="G1" s="16" t="s">
        <v>4</v>
      </c>
      <c r="H1" s="16" t="s">
        <v>5</v>
      </c>
      <c r="I1" s="16" t="s">
        <v>6</v>
      </c>
      <c r="J1" s="16" t="s">
        <v>1</v>
      </c>
      <c r="K1" s="16" t="s">
        <v>7</v>
      </c>
      <c r="L1" s="16" t="s">
        <v>13</v>
      </c>
      <c r="M1" s="16" t="s">
        <v>14</v>
      </c>
      <c r="N1" s="16" t="s">
        <v>8</v>
      </c>
      <c r="O1" s="16" t="s">
        <v>12</v>
      </c>
      <c r="P1" s="16" t="s">
        <v>18</v>
      </c>
      <c r="Q1" s="16" t="s">
        <v>9</v>
      </c>
      <c r="R1" s="16" t="s">
        <v>10</v>
      </c>
      <c r="S1" s="11"/>
      <c r="T1" s="11"/>
      <c r="U1" s="11"/>
      <c r="V1" s="10"/>
      <c r="W1" s="10"/>
      <c r="X1" s="10"/>
      <c r="Y1" s="12"/>
      <c r="Z1" s="10"/>
      <c r="AA1" s="10"/>
      <c r="AB1" s="10" t="s">
        <v>11</v>
      </c>
      <c r="AC1" s="13"/>
    </row>
    <row r="2" spans="1:29" s="3" customFormat="1" ht="19.95" customHeight="1" x14ac:dyDescent="0.3">
      <c r="A2" s="17" t="s">
        <v>19</v>
      </c>
      <c r="B2" s="17" t="s">
        <v>22</v>
      </c>
      <c r="C2" s="17" t="s">
        <v>23</v>
      </c>
      <c r="D2" s="18" t="s">
        <v>24</v>
      </c>
      <c r="E2" s="18" t="s">
        <v>24</v>
      </c>
      <c r="F2" s="18" t="s">
        <v>25</v>
      </c>
      <c r="G2" s="18" t="s">
        <v>26</v>
      </c>
      <c r="H2" s="18" t="s">
        <v>27</v>
      </c>
      <c r="I2" s="18" t="s">
        <v>28</v>
      </c>
      <c r="J2" s="18" t="s">
        <v>29</v>
      </c>
      <c r="K2" s="18" t="s">
        <v>30</v>
      </c>
      <c r="L2" s="18" t="s">
        <v>31</v>
      </c>
      <c r="M2" s="18" t="s">
        <v>32</v>
      </c>
      <c r="N2" s="22">
        <v>25</v>
      </c>
      <c r="O2" s="18" t="s">
        <v>20</v>
      </c>
      <c r="P2" s="18" t="s">
        <v>21</v>
      </c>
      <c r="Q2" s="18" t="s">
        <v>33</v>
      </c>
      <c r="R2" s="18" t="s">
        <v>34</v>
      </c>
      <c r="S2" s="5"/>
      <c r="T2" s="5"/>
      <c r="U2" s="8"/>
      <c r="V2" s="9"/>
      <c r="W2" s="4"/>
      <c r="X2" s="4"/>
      <c r="Y2" s="7"/>
      <c r="Z2" s="4"/>
      <c r="AA2" s="4"/>
      <c r="AB2" s="6">
        <f>IF(B2="",0,1)</f>
        <v>1</v>
      </c>
      <c r="AC2"/>
    </row>
    <row r="3" spans="1:29" s="3" customFormat="1" ht="19.95" customHeight="1" x14ac:dyDescent="0.3">
      <c r="A3" s="17"/>
      <c r="B3" s="17"/>
      <c r="C3" s="17"/>
      <c r="D3" s="18"/>
      <c r="E3" s="18"/>
      <c r="F3" s="18"/>
      <c r="G3" s="18"/>
      <c r="H3" s="18"/>
      <c r="I3" s="18"/>
      <c r="J3" s="18"/>
      <c r="K3" s="18"/>
      <c r="L3" s="18"/>
      <c r="M3" s="18"/>
      <c r="N3" s="22"/>
      <c r="O3" s="18"/>
      <c r="P3" s="18"/>
      <c r="Q3" s="18"/>
      <c r="R3" s="18"/>
      <c r="S3" s="5"/>
      <c r="T3" s="5"/>
      <c r="U3" s="8"/>
      <c r="V3" s="9"/>
      <c r="W3" s="4"/>
      <c r="X3" s="4"/>
      <c r="Y3" s="7"/>
      <c r="Z3" s="4"/>
      <c r="AA3" s="4"/>
      <c r="AB3" s="6">
        <f>IF(B3="",0,1)</f>
        <v>0</v>
      </c>
      <c r="AC3"/>
    </row>
    <row r="4" spans="1:29" s="3" customFormat="1" ht="19.95" customHeight="1" x14ac:dyDescent="0.3">
      <c r="A4" s="17"/>
      <c r="B4" s="17"/>
      <c r="C4" s="17"/>
      <c r="D4" s="18"/>
      <c r="E4" s="18"/>
      <c r="F4" s="18"/>
      <c r="G4" s="18"/>
      <c r="H4" s="18"/>
      <c r="I4" s="18"/>
      <c r="J4" s="18"/>
      <c r="K4" s="18"/>
      <c r="L4" s="18"/>
      <c r="M4" s="18"/>
      <c r="N4" s="22"/>
      <c r="O4" s="18"/>
      <c r="P4" s="18"/>
      <c r="Q4" s="18"/>
      <c r="R4" s="18"/>
      <c r="S4" s="5"/>
      <c r="T4" s="5"/>
      <c r="U4" s="8"/>
      <c r="V4" s="9"/>
      <c r="W4" s="4"/>
      <c r="X4" s="4"/>
      <c r="Y4" s="7"/>
      <c r="Z4" s="4"/>
      <c r="AA4" s="4"/>
      <c r="AB4" s="6">
        <f>IF(B4="",0,1)</f>
        <v>0</v>
      </c>
      <c r="AC4"/>
    </row>
    <row r="5" spans="1:29" s="3" customFormat="1" ht="19.95" customHeight="1" x14ac:dyDescent="0.3">
      <c r="A5" s="19"/>
      <c r="B5" s="19"/>
      <c r="C5" s="19"/>
      <c r="D5" s="18"/>
      <c r="E5" s="18"/>
      <c r="F5" s="18"/>
      <c r="G5" s="20"/>
      <c r="H5" s="20"/>
      <c r="I5" s="20"/>
      <c r="J5" s="18"/>
      <c r="K5" s="20"/>
      <c r="L5" s="20"/>
      <c r="M5" s="20"/>
      <c r="N5" s="22"/>
      <c r="O5" s="21"/>
      <c r="P5" s="21"/>
      <c r="Q5" s="21"/>
      <c r="R5" s="20"/>
      <c r="S5" s="4"/>
      <c r="T5" s="4"/>
      <c r="U5" s="8"/>
      <c r="V5" s="9"/>
      <c r="W5" s="4"/>
      <c r="X5" s="4"/>
      <c r="Y5" s="7"/>
      <c r="Z5" s="4"/>
      <c r="AA5" s="4"/>
      <c r="AB5" s="6">
        <f>IF(B5="",0,VLOOKUP(Z5,Planilha1!#REF!,2,FALSE))</f>
        <v>0</v>
      </c>
      <c r="AC5"/>
    </row>
    <row r="6" spans="1:29" s="3" customFormat="1" ht="19.95" customHeight="1" x14ac:dyDescent="0.3">
      <c r="A6" s="19"/>
      <c r="B6" s="19"/>
      <c r="C6" s="19"/>
      <c r="D6" s="18"/>
      <c r="E6" s="18"/>
      <c r="F6" s="18"/>
      <c r="G6" s="20"/>
      <c r="H6" s="20"/>
      <c r="I6" s="20"/>
      <c r="J6" s="20"/>
      <c r="K6" s="20"/>
      <c r="L6" s="20"/>
      <c r="M6" s="20"/>
      <c r="N6" s="22"/>
      <c r="O6" s="20"/>
      <c r="P6" s="20"/>
      <c r="Q6" s="20"/>
      <c r="R6" s="20"/>
      <c r="S6" s="4"/>
      <c r="T6" s="4"/>
      <c r="U6" s="8"/>
      <c r="V6" s="9"/>
      <c r="W6" s="4"/>
      <c r="X6" s="4"/>
      <c r="Y6" s="7"/>
      <c r="Z6" s="4"/>
      <c r="AA6" s="4"/>
      <c r="AB6" s="6">
        <f>IF(B6="",0,VLOOKUP(Z6,Planilha1!#REF!,2,FALSE))</f>
        <v>0</v>
      </c>
      <c r="AC6"/>
    </row>
  </sheetData>
  <sheetProtection sheet="1" objects="1" scenarios="1"/>
  <phoneticPr fontId="8" type="noConversion"/>
  <conditionalFormatting sqref="J1:J1048576">
    <cfRule type="duplicateValues" dxfId="1" priority="1"/>
  </conditionalFormatting>
  <conditionalFormatting sqref="K1 K5:M1048576">
    <cfRule type="duplicateValues" dxfId="0" priority="2"/>
  </conditionalFormatting>
  <dataValidations count="12">
    <dataValidation type="list" allowBlank="1" showInputMessage="1" showErrorMessage="1" sqref="W5:W6" xr:uid="{AEBEAE45-30D1-4542-A1D6-EBC88D16BDC1}">
      <formula1>"KG, L, Ds"</formula1>
    </dataValidation>
    <dataValidation type="list" allowBlank="1" showInputMessage="1" showErrorMessage="1" sqref="AA5:AB6" xr:uid="{515AD032-001C-4B14-8366-B098E8D106E9}">
      <formula1>"NITRO, FORNECEDOR, DEVOLUÇÃO"</formula1>
    </dataValidation>
    <dataValidation type="list" allowBlank="1" showInputMessage="1" showErrorMessage="1" sqref="X5:X6" xr:uid="{9224D280-D2F8-4702-BD9E-3A2E00F78617}">
      <formula1>"Saco, Bombona, Palete, Caixa, Big Bag, Galão"</formula1>
    </dataValidation>
    <dataValidation type="list" allowBlank="1" showInputMessage="1" showErrorMessage="1" sqref="I5:I6" xr:uid="{0CCEE7D2-5A92-4296-95B7-680EA05B05B1}">
      <formula1>"VZP TRANSF HORT, DEVOLUÇÃO CLIENTE, VZP TRANSF CBA, RECEBIMENTO PORTO, ROO TRANSF HORT, ROO TRANSF CBA, HORT TRANSF CBA, TORRE DE CONTROLE, TRANSP. RODOFROTA, STZ TRANSF HORT, CBA TRANSF HORT, STZ TRANSF CBA, FORNECEDOR"</formula1>
    </dataValidation>
    <dataValidation type="list" allowBlank="1" showInputMessage="1" showErrorMessage="1" sqref="I5:I6 G5:G6" xr:uid="{A9DDEBF6-CC05-4C4C-B66F-05CC7D4CAF45}">
      <formula1>"Cuiabá, Hortolândia"</formula1>
    </dataValidation>
    <dataValidation type="list" allowBlank="1" showInputMessage="1" showErrorMessage="1" sqref="J6" xr:uid="{EE69AD02-7E08-441A-857C-3BD9A1515FF8}">
      <formula1>"FORNECEDOR, DEVOLUÇÃO CLIENTE, VZP NITRO, HORT, CUIABÁ"</formula1>
    </dataValidation>
    <dataValidation type="list" allowBlank="1" showInputMessage="1" showErrorMessage="1" sqref="F2:F4" xr:uid="{1FA120A8-14C6-4F7D-BB1D-E2BEE940ECF5}">
      <formula1>"Conferência, Movimentação Interna ou armazenagem, Separação, Expedição - Carregamento"</formula1>
    </dataValidation>
    <dataValidation type="list" allowBlank="1" showInputMessage="1" showErrorMessage="1" sqref="O2:O4" xr:uid="{484497D8-42F2-4C49-A4D8-BA5B5AF75B7A}">
      <formula1>"KG, L"</formula1>
    </dataValidation>
    <dataValidation type="list" allowBlank="1" showInputMessage="1" showErrorMessage="1" sqref="D2:D4" xr:uid="{D2B05375-3588-42D9-8BB7-56B59A51B1EE}">
      <formula1>"MMCM - HOR, MMCM - CBA"</formula1>
    </dataValidation>
    <dataValidation type="list" allowBlank="1" showInputMessage="1" showErrorMessage="1" sqref="E2:E4" xr:uid="{41EB2888-F11E-456C-A00B-F6AF89D6614F}">
      <formula1>"MMCM - HOR, MMCM - CBA, NITRO"</formula1>
    </dataValidation>
    <dataValidation type="list" allowBlank="1" showInputMessage="1" showErrorMessage="1" sqref="A2:A4" xr:uid="{2E0B6B3D-1179-4B3F-8778-41DC49DAEC8D}">
      <formula1>"Rasgada /Amassada, Vazando"</formula1>
    </dataValidation>
    <dataValidation type="list" allowBlank="1" showInputMessage="1" showErrorMessage="1" sqref="P2:P4" xr:uid="{63B1DB81-B8D8-4975-B6A0-4F650D7213C9}">
      <formula1>"Sacaria, Bombona, Embalagem molhada, Válvula, Galão"</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BFC9718C-7A38-431D-ACF5-873DF8A74B20}">
          <x14:formula1>
            <xm:f>Planilha1!#REF!</xm:f>
          </x14:formula1>
          <xm:sqref>Z5:Z6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7A471-271E-4297-9FAE-148E6C58B78F}">
  <dimension ref="A8:J110"/>
  <sheetViews>
    <sheetView workbookViewId="0">
      <selection activeCell="D6" sqref="D6"/>
    </sheetView>
  </sheetViews>
  <sheetFormatPr defaultColWidth="20.77734375" defaultRowHeight="19.95" customHeight="1" x14ac:dyDescent="0.3"/>
  <cols>
    <col min="1" max="16384" width="20.77734375" style="2"/>
  </cols>
  <sheetData>
    <row r="8" spans="1:10" ht="19.95" customHeight="1" x14ac:dyDescent="0.3">
      <c r="A8"/>
      <c r="B8"/>
      <c r="C8"/>
      <c r="D8"/>
      <c r="E8"/>
      <c r="F8"/>
      <c r="G8"/>
      <c r="H8"/>
      <c r="I8"/>
      <c r="J8"/>
    </row>
    <row r="9" spans="1:10" ht="19.95" customHeight="1" x14ac:dyDescent="0.3">
      <c r="A9"/>
    </row>
    <row r="10" spans="1:10" ht="19.95" customHeight="1" x14ac:dyDescent="0.3">
      <c r="A10"/>
    </row>
    <row r="11" spans="1:10" ht="19.95" customHeight="1" x14ac:dyDescent="0.3">
      <c r="A11"/>
    </row>
    <row r="12" spans="1:10" ht="19.95" customHeight="1" x14ac:dyDescent="0.3">
      <c r="A12"/>
    </row>
    <row r="13" spans="1:10" ht="19.95" customHeight="1" x14ac:dyDescent="0.3">
      <c r="A13"/>
    </row>
    <row r="14" spans="1:10" ht="19.95" customHeight="1" x14ac:dyDescent="0.3">
      <c r="A14"/>
    </row>
    <row r="15" spans="1:10" ht="19.95" customHeight="1" x14ac:dyDescent="0.3">
      <c r="A15"/>
    </row>
    <row r="16" spans="1:10" ht="19.95" customHeight="1" x14ac:dyDescent="0.3">
      <c r="A16"/>
    </row>
    <row r="17" spans="1:1" ht="19.95" customHeight="1" x14ac:dyDescent="0.3">
      <c r="A17"/>
    </row>
    <row r="18" spans="1:1" ht="19.95" customHeight="1" x14ac:dyDescent="0.3">
      <c r="A18"/>
    </row>
    <row r="19" spans="1:1" ht="19.95" customHeight="1" x14ac:dyDescent="0.3">
      <c r="A19"/>
    </row>
    <row r="20" spans="1:1" ht="19.95" customHeight="1" x14ac:dyDescent="0.3">
      <c r="A20"/>
    </row>
    <row r="21" spans="1:1" ht="19.95" customHeight="1" x14ac:dyDescent="0.3">
      <c r="A21"/>
    </row>
    <row r="22" spans="1:1" ht="19.95" customHeight="1" x14ac:dyDescent="0.3">
      <c r="A22"/>
    </row>
    <row r="23" spans="1:1" ht="19.95" customHeight="1" x14ac:dyDescent="0.3">
      <c r="A23"/>
    </row>
    <row r="24" spans="1:1" ht="19.95" customHeight="1" x14ac:dyDescent="0.3">
      <c r="A24"/>
    </row>
    <row r="25" spans="1:1" ht="19.95" customHeight="1" x14ac:dyDescent="0.3">
      <c r="A25"/>
    </row>
    <row r="26" spans="1:1" ht="19.95" customHeight="1" x14ac:dyDescent="0.3">
      <c r="A26"/>
    </row>
    <row r="27" spans="1:1" ht="19.95" customHeight="1" x14ac:dyDescent="0.3">
      <c r="A27"/>
    </row>
    <row r="28" spans="1:1" ht="19.95" customHeight="1" x14ac:dyDescent="0.3">
      <c r="A28"/>
    </row>
    <row r="29" spans="1:1" ht="19.95" customHeight="1" x14ac:dyDescent="0.3">
      <c r="A29"/>
    </row>
    <row r="30" spans="1:1" ht="19.95" customHeight="1" x14ac:dyDescent="0.3">
      <c r="A30"/>
    </row>
    <row r="31" spans="1:1" ht="19.95" customHeight="1" x14ac:dyDescent="0.3">
      <c r="A31"/>
    </row>
    <row r="32" spans="1:1" ht="19.95" customHeight="1" x14ac:dyDescent="0.3">
      <c r="A32"/>
    </row>
    <row r="33" spans="1:1" ht="19.95" customHeight="1" x14ac:dyDescent="0.3">
      <c r="A33"/>
    </row>
    <row r="34" spans="1:1" ht="19.95" customHeight="1" x14ac:dyDescent="0.3">
      <c r="A34"/>
    </row>
    <row r="35" spans="1:1" ht="19.95" customHeight="1" x14ac:dyDescent="0.3">
      <c r="A35"/>
    </row>
    <row r="36" spans="1:1" ht="19.95" customHeight="1" x14ac:dyDescent="0.3">
      <c r="A36"/>
    </row>
    <row r="37" spans="1:1" ht="19.95" customHeight="1" x14ac:dyDescent="0.3">
      <c r="A37"/>
    </row>
    <row r="38" spans="1:1" ht="19.95" customHeight="1" x14ac:dyDescent="0.3">
      <c r="A38"/>
    </row>
    <row r="39" spans="1:1" ht="19.95" customHeight="1" x14ac:dyDescent="0.3">
      <c r="A39"/>
    </row>
    <row r="40" spans="1:1" ht="19.95" customHeight="1" x14ac:dyDescent="0.3">
      <c r="A40"/>
    </row>
    <row r="41" spans="1:1" ht="19.95" customHeight="1" x14ac:dyDescent="0.3">
      <c r="A41"/>
    </row>
    <row r="42" spans="1:1" ht="19.95" customHeight="1" x14ac:dyDescent="0.3">
      <c r="A42"/>
    </row>
    <row r="43" spans="1:1" ht="19.95" customHeight="1" x14ac:dyDescent="0.3">
      <c r="A43"/>
    </row>
    <row r="44" spans="1:1" ht="19.95" customHeight="1" x14ac:dyDescent="0.3">
      <c r="A44"/>
    </row>
    <row r="45" spans="1:1" ht="19.95" customHeight="1" x14ac:dyDescent="0.3">
      <c r="A45"/>
    </row>
    <row r="46" spans="1:1" ht="19.95" customHeight="1" x14ac:dyDescent="0.3">
      <c r="A46"/>
    </row>
    <row r="47" spans="1:1" ht="19.95" customHeight="1" x14ac:dyDescent="0.3">
      <c r="A47"/>
    </row>
    <row r="48" spans="1:1" ht="19.95" customHeight="1" x14ac:dyDescent="0.3">
      <c r="A48"/>
    </row>
    <row r="49" spans="1:1" ht="19.95" customHeight="1" x14ac:dyDescent="0.3">
      <c r="A49"/>
    </row>
    <row r="50" spans="1:1" ht="19.95" customHeight="1" x14ac:dyDescent="0.3">
      <c r="A50"/>
    </row>
    <row r="51" spans="1:1" ht="19.95" customHeight="1" x14ac:dyDescent="0.3">
      <c r="A51"/>
    </row>
    <row r="52" spans="1:1" ht="19.95" customHeight="1" x14ac:dyDescent="0.3">
      <c r="A52"/>
    </row>
    <row r="53" spans="1:1" ht="19.95" customHeight="1" x14ac:dyDescent="0.3">
      <c r="A53"/>
    </row>
    <row r="54" spans="1:1" ht="19.95" customHeight="1" x14ac:dyDescent="0.3">
      <c r="A54"/>
    </row>
    <row r="55" spans="1:1" ht="19.95" customHeight="1" x14ac:dyDescent="0.3">
      <c r="A55"/>
    </row>
    <row r="56" spans="1:1" ht="19.95" customHeight="1" x14ac:dyDescent="0.3">
      <c r="A56"/>
    </row>
    <row r="57" spans="1:1" ht="19.95" customHeight="1" x14ac:dyDescent="0.3">
      <c r="A57"/>
    </row>
    <row r="58" spans="1:1" ht="19.95" customHeight="1" x14ac:dyDescent="0.3">
      <c r="A58"/>
    </row>
    <row r="59" spans="1:1" ht="19.95" customHeight="1" x14ac:dyDescent="0.3">
      <c r="A59"/>
    </row>
    <row r="60" spans="1:1" ht="19.95" customHeight="1" x14ac:dyDescent="0.3">
      <c r="A60"/>
    </row>
    <row r="61" spans="1:1" ht="19.95" customHeight="1" x14ac:dyDescent="0.3">
      <c r="A61"/>
    </row>
    <row r="62" spans="1:1" ht="19.95" customHeight="1" x14ac:dyDescent="0.3">
      <c r="A62"/>
    </row>
    <row r="63" spans="1:1" ht="19.95" customHeight="1" x14ac:dyDescent="0.3">
      <c r="A63"/>
    </row>
    <row r="64" spans="1:1" ht="19.95" customHeight="1" x14ac:dyDescent="0.3">
      <c r="A64"/>
    </row>
    <row r="65" spans="1:1" ht="19.95" customHeight="1" x14ac:dyDescent="0.3">
      <c r="A65"/>
    </row>
    <row r="66" spans="1:1" ht="19.95" customHeight="1" x14ac:dyDescent="0.3">
      <c r="A66"/>
    </row>
    <row r="67" spans="1:1" ht="19.95" customHeight="1" x14ac:dyDescent="0.3">
      <c r="A67"/>
    </row>
    <row r="68" spans="1:1" ht="19.95" customHeight="1" x14ac:dyDescent="0.3">
      <c r="A68"/>
    </row>
    <row r="69" spans="1:1" ht="19.95" customHeight="1" x14ac:dyDescent="0.3">
      <c r="A69"/>
    </row>
    <row r="70" spans="1:1" ht="19.95" customHeight="1" x14ac:dyDescent="0.3">
      <c r="A70"/>
    </row>
    <row r="71" spans="1:1" ht="19.95" customHeight="1" x14ac:dyDescent="0.3">
      <c r="A71"/>
    </row>
    <row r="72" spans="1:1" ht="19.95" customHeight="1" x14ac:dyDescent="0.3">
      <c r="A72"/>
    </row>
    <row r="73" spans="1:1" ht="19.95" customHeight="1" x14ac:dyDescent="0.3">
      <c r="A73"/>
    </row>
    <row r="74" spans="1:1" ht="19.95" customHeight="1" x14ac:dyDescent="0.3">
      <c r="A74"/>
    </row>
    <row r="75" spans="1:1" ht="19.95" customHeight="1" x14ac:dyDescent="0.3">
      <c r="A75"/>
    </row>
    <row r="76" spans="1:1" ht="19.95" customHeight="1" x14ac:dyDescent="0.3">
      <c r="A76"/>
    </row>
    <row r="77" spans="1:1" ht="19.95" customHeight="1" x14ac:dyDescent="0.3">
      <c r="A77"/>
    </row>
    <row r="78" spans="1:1" ht="19.95" customHeight="1" x14ac:dyDescent="0.3">
      <c r="A78"/>
    </row>
    <row r="79" spans="1:1" ht="19.95" customHeight="1" x14ac:dyDescent="0.3">
      <c r="A79"/>
    </row>
    <row r="80" spans="1:1" ht="19.95" customHeight="1" x14ac:dyDescent="0.3">
      <c r="A80"/>
    </row>
    <row r="81" spans="1:1" ht="19.95" customHeight="1" x14ac:dyDescent="0.3">
      <c r="A81"/>
    </row>
    <row r="82" spans="1:1" ht="19.95" customHeight="1" x14ac:dyDescent="0.3">
      <c r="A82"/>
    </row>
    <row r="83" spans="1:1" ht="19.95" customHeight="1" x14ac:dyDescent="0.3">
      <c r="A83"/>
    </row>
    <row r="84" spans="1:1" ht="19.95" customHeight="1" x14ac:dyDescent="0.3">
      <c r="A84"/>
    </row>
    <row r="85" spans="1:1" ht="19.95" customHeight="1" x14ac:dyDescent="0.3">
      <c r="A85"/>
    </row>
    <row r="86" spans="1:1" ht="19.95" customHeight="1" x14ac:dyDescent="0.3">
      <c r="A86"/>
    </row>
    <row r="87" spans="1:1" ht="19.95" customHeight="1" x14ac:dyDescent="0.3">
      <c r="A87"/>
    </row>
    <row r="88" spans="1:1" ht="19.95" customHeight="1" x14ac:dyDescent="0.3">
      <c r="A88"/>
    </row>
    <row r="89" spans="1:1" ht="19.95" customHeight="1" x14ac:dyDescent="0.3">
      <c r="A89"/>
    </row>
    <row r="90" spans="1:1" ht="19.95" customHeight="1" x14ac:dyDescent="0.3">
      <c r="A90"/>
    </row>
    <row r="91" spans="1:1" ht="19.95" customHeight="1" x14ac:dyDescent="0.3">
      <c r="A91"/>
    </row>
    <row r="92" spans="1:1" ht="19.95" customHeight="1" x14ac:dyDescent="0.3">
      <c r="A92"/>
    </row>
    <row r="93" spans="1:1" ht="19.95" customHeight="1" x14ac:dyDescent="0.3">
      <c r="A93"/>
    </row>
    <row r="94" spans="1:1" ht="19.95" customHeight="1" x14ac:dyDescent="0.3">
      <c r="A94"/>
    </row>
    <row r="95" spans="1:1" ht="19.95" customHeight="1" x14ac:dyDescent="0.3">
      <c r="A95"/>
    </row>
    <row r="96" spans="1:1" ht="19.95" customHeight="1" x14ac:dyDescent="0.3">
      <c r="A96"/>
    </row>
    <row r="97" spans="1:1" ht="19.95" customHeight="1" x14ac:dyDescent="0.3">
      <c r="A97"/>
    </row>
    <row r="98" spans="1:1" ht="19.95" customHeight="1" x14ac:dyDescent="0.3">
      <c r="A98"/>
    </row>
    <row r="99" spans="1:1" ht="19.95" customHeight="1" x14ac:dyDescent="0.3">
      <c r="A99"/>
    </row>
    <row r="100" spans="1:1" ht="19.95" customHeight="1" x14ac:dyDescent="0.3">
      <c r="A100"/>
    </row>
    <row r="101" spans="1:1" ht="19.95" customHeight="1" x14ac:dyDescent="0.3">
      <c r="A101"/>
    </row>
    <row r="102" spans="1:1" ht="19.95" customHeight="1" x14ac:dyDescent="0.3">
      <c r="A102"/>
    </row>
    <row r="103" spans="1:1" ht="19.95" customHeight="1" x14ac:dyDescent="0.3">
      <c r="A103"/>
    </row>
    <row r="104" spans="1:1" ht="19.95" customHeight="1" x14ac:dyDescent="0.3">
      <c r="A104"/>
    </row>
    <row r="105" spans="1:1" ht="19.95" customHeight="1" x14ac:dyDescent="0.3">
      <c r="A105"/>
    </row>
    <row r="106" spans="1:1" ht="19.95" customHeight="1" x14ac:dyDescent="0.3">
      <c r="A106"/>
    </row>
    <row r="107" spans="1:1" ht="19.95" customHeight="1" x14ac:dyDescent="0.3">
      <c r="A107"/>
    </row>
    <row r="108" spans="1:1" ht="19.95" customHeight="1" x14ac:dyDescent="0.3">
      <c r="A108"/>
    </row>
    <row r="109" spans="1:1" ht="19.95" customHeight="1" x14ac:dyDescent="0.3">
      <c r="A109"/>
    </row>
    <row r="110" spans="1:1" ht="19.95" customHeight="1" x14ac:dyDescent="0.3">
      <c r="A110"/>
    </row>
  </sheetData>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IESUS EMANUEL DE VIEIRA E CANDIDO</dc:creator>
  <cp:lastModifiedBy>BI  Logistica</cp:lastModifiedBy>
  <dcterms:created xsi:type="dcterms:W3CDTF">2015-06-05T18:19:34Z</dcterms:created>
  <dcterms:modified xsi:type="dcterms:W3CDTF">2026-04-01T21:32:51Z</dcterms:modified>
</cp:coreProperties>
</file>