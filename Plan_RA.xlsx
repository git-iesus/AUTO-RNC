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69C00724-B11D-4B7A-86F1-46231C8E88E7}"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1" l="1"/>
  <c r="AB11" i="1"/>
  <c r="AB10" i="1"/>
  <c r="AB9" i="1"/>
  <c r="AB8" i="1"/>
  <c r="AB7" i="1"/>
  <c r="AB6" i="1"/>
  <c r="AB5" i="1"/>
  <c r="AB3" i="1"/>
  <c r="AB4" i="1"/>
  <c r="AB2" i="1"/>
  <c r="AB13" i="1"/>
</calcChain>
</file>

<file path=xl/sharedStrings.xml><?xml version="1.0" encoding="utf-8"?>
<sst xmlns="http://schemas.openxmlformats.org/spreadsheetml/2006/main" count="36" uniqueCount="35">
  <si>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</si>
  <si>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</si>
  <si>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</si>
  <si>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</si>
  <si>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</si>
  <si>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</si>
  <si>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</si>
  <si>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</si>
  <si>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</si>
  <si>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</si>
  <si>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</si>
  <si>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</si>
  <si>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</si>
  <si>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</si>
  <si>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</si>
  <si>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</si>
  <si>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</si>
  <si>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</si>
  <si>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</si>
  <si>
    <t>Rasgada /Amassada</t>
  </si>
  <si>
    <t>KG</t>
  </si>
  <si>
    <t>Sacaria</t>
  </si>
  <si>
    <t>117</t>
  </si>
  <si>
    <t>ra-01</t>
  </si>
  <si>
    <t>MMCM - HOR</t>
  </si>
  <si>
    <t>Expedição - Carregamento</t>
  </si>
  <si>
    <t>5283</t>
  </si>
  <si>
    <t>SPEED CITROS SCX25KG</t>
  </si>
  <si>
    <t>05026</t>
  </si>
  <si>
    <t>6925935</t>
  </si>
  <si>
    <t>59691/24</t>
  </si>
  <si>
    <t>01/10/2024</t>
  </si>
  <si>
    <t>01/10/2026</t>
  </si>
  <si>
    <t>Durante o processo de carregamento, foi identificada a seguinte Avaria: A) O produto SPEED CITROS SCX25KG (NF 5283, Lote 59691/24) apresentou 25kg avariados (1 saco). No momento da estiva/movimentação para o veículo, a sacaria foi rasgada, comprometendo a integridade da embalagem e impossibilitando o envio ao cliente. O volume foi retirado da carga para segregação e posterior processo de bloqueio e recondicionamento.</t>
  </si>
  <si>
    <t>Leonardo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</si>
</sst>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b/>
      <u/>
      <sz val="12"/>
      <color rgb="FFFFC000"/>
      <name val="Calibri"/>
      <family val="2"/>
      <scheme val="minor"/>
    </font>
    <font>
      <b/>
      <u/>
      <sz val="12"/>
      <color theme="1"/>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5">
    <fill>
      <patternFill patternType="none"/>
    </fill>
    <fill>
      <patternFill patternType="gray125"/>
    </fill>
    <fill>
      <patternFill patternType="solid">
        <fgColor rgb="FF094527"/>
        <bgColor indexed="64"/>
      </patternFill>
    </fill>
    <fill>
      <patternFill patternType="solid">
        <fgColor rgb="FF158D62"/>
        <bgColor indexed="64"/>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pplyProtection="1">
      <alignment horizontal="left"/>
      <protection locked="0"/>
    </xf>
    <xf numFmtId="14" fontId="1" fillId="0" borderId="1" xfId="0" applyNumberFormat="1" applyFont="1" applyBorder="1" applyAlignment="1" applyProtection="1">
      <alignment horizontal="left"/>
      <protection locked="0"/>
    </xf>
    <xf numFmtId="0" fontId="1" fillId="0" borderId="1" xfId="0" applyFont="1" applyBorder="1" applyAlignment="1">
      <alignment horizontal="left"/>
    </xf>
    <xf numFmtId="0" fontId="1" fillId="0" borderId="1" xfId="0" applyFont="1" applyBorder="1" applyAlignment="1" applyProtection="1">
      <alignment horizontal="left" wrapText="1"/>
      <protection locked="0"/>
    </xf>
    <xf numFmtId="49" fontId="1" fillId="0" borderId="1" xfId="0" applyNumberFormat="1" applyFont="1" applyBorder="1" applyAlignment="1" applyProtection="1">
      <alignment horizontal="left"/>
      <protection locked="0"/>
    </xf>
    <xf numFmtId="3" fontId="1" fillId="0" borderId="1" xfId="0" applyNumberFormat="1" applyFont="1" applyBorder="1" applyAlignment="1" applyProtection="1">
      <alignment horizontal="left"/>
      <protection locked="0"/>
    </xf>
    <xf numFmtId="49" fontId="5" fillId="2" borderId="1" xfId="0" applyNumberFormat="1" applyFont="1" applyFill="1" applyBorder="1" applyAlignment="1">
      <alignment horizontal="left"/>
    </xf>
    <xf numFmtId="49" fontId="6" fillId="2" borderId="1" xfId="0" applyNumberFormat="1" applyFont="1" applyFill="1" applyBorder="1" applyAlignment="1">
      <alignment horizontal="left"/>
    </xf>
    <xf numFmtId="49" fontId="7" fillId="2" borderId="1" xfId="0" applyNumberFormat="1" applyFont="1" applyFill="1" applyBorder="1" applyAlignment="1">
      <alignment horizontal="left"/>
    </xf>
    <xf numFmtId="49" fontId="4" fillId="2" borderId="0" xfId="0" applyNumberFormat="1" applyFont="1" applyFill="1" applyAlignment="1">
      <alignment horizontal="left"/>
    </xf>
    <xf numFmtId="49" fontId="2" fillId="2" borderId="0" xfId="0" applyNumberFormat="1" applyFont="1" applyFill="1" applyAlignment="1">
      <alignment horizontal="left"/>
    </xf>
    <xf numFmtId="49" fontId="9" fillId="3" borderId="1" xfId="0" applyNumberFormat="1" applyFont="1" applyFill="1" applyBorder="1" applyAlignment="1">
      <alignment horizontal="left"/>
    </xf>
    <xf numFmtId="49" fontId="10" fillId="3" borderId="1" xfId="0" applyNumberFormat="1" applyFont="1" applyFill="1" applyBorder="1" applyAlignment="1">
      <alignment horizontal="left"/>
    </xf>
    <xf numFmtId="49" fontId="0" fillId="0" borderId="1" xfId="0" applyNumberFormat="1" applyBorder="1" applyAlignment="1" applyProtection="1">
      <alignment horizontal="left"/>
      <protection locked="0"/>
    </xf>
    <xf numFmtId="0" fontId="0" fillId="0" borderId="1" xfId="0" applyBorder="1" applyAlignment="1" applyProtection="1">
      <alignment horizontal="left"/>
      <protection locked="0"/>
    </xf>
    <xf numFmtId="14" fontId="0" fillId="0" borderId="1" xfId="0" applyNumberFormat="1" applyBorder="1" applyAlignment="1" applyProtection="1">
      <alignment horizontal="left"/>
      <protection locked="0"/>
    </xf>
    <xf numFmtId="1" fontId="0" fillId="0" borderId="1" xfId="0" applyNumberFormat="1" applyBorder="1" applyAlignment="1" applyProtection="1">
      <alignment horizontal="left"/>
      <protection locked="0"/>
    </xf>
    <xf numFmtId="49" fontId="0" fillId="4" borderId="1" xfId="0" applyNumberFormat="1" applyFill="1" applyBorder="1" applyAlignment="1" applyProtection="1">
      <alignment horizontal="left"/>
      <protection locked="0"/>
    </xf>
    <xf numFmtId="1" fontId="0" fillId="4" borderId="1" xfId="0" applyNumberFormat="1" applyFill="1" applyBorder="1" applyAlignment="1" applyProtection="1">
      <alignment horizontal="left"/>
      <protection locked="0"/>
    </xf>
    <xf numFmtId="14" fontId="1" fillId="4" borderId="1" xfId="0" applyNumberFormat="1" applyFont="1" applyFill="1" applyBorder="1" applyAlignment="1" applyProtection="1">
      <alignment horizontal="left"/>
      <protection locked="0"/>
    </xf>
    <xf numFmtId="49" fontId="1" fillId="4" borderId="1" xfId="0" applyNumberFormat="1" applyFont="1" applyFill="1" applyBorder="1" applyAlignment="1" applyProtection="1">
      <alignment horizontal="left"/>
      <protection locked="0"/>
    </xf>
    <xf numFmtId="3" fontId="1" fillId="4" borderId="1" xfId="0" applyNumberFormat="1" applyFont="1" applyFill="1" applyBorder="1" applyAlignment="1" applyProtection="1">
      <alignment horizontal="left"/>
      <protection locked="0"/>
    </xf>
    <xf numFmtId="0" fontId="1" fillId="4" borderId="1" xfId="0" applyFont="1" applyFill="1" applyBorder="1" applyAlignment="1" applyProtection="1">
      <alignment horizontal="left"/>
      <protection locked="0"/>
    </xf>
    <xf numFmtId="0" fontId="1" fillId="4" borderId="1" xfId="0" applyFont="1" applyFill="1" applyBorder="1" applyAlignment="1" applyProtection="1">
      <alignment horizontal="left" wrapText="1"/>
      <protection locked="0"/>
    </xf>
    <xf numFmtId="0" fontId="0" fillId="4" borderId="0" xfId="0" applyFill="1"/>
    <xf numFmtId="0" fontId="1" fillId="4" borderId="0" xfId="0" applyFont="1" applyFill="1" applyAlignment="1">
      <alignment horizontal="left"/>
    </xf>
    <xf numFmtId="49" fontId="0" fillId="0" borderId="1" xfId="0" applyNumberFormat="1" applyFill="1" applyBorder="1" applyAlignment="1" applyProtection="1">
      <alignment horizontal="left"/>
      <protection locked="0"/>
    </xf>
    <xf numFmtId="0" fontId="0" fillId="0" borderId="1" xfId="0" applyFill="1" applyBorder="1" applyAlignment="1" applyProtection="1">
      <alignment horizontal="left"/>
      <protection locked="0"/>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58D62"/>
      <color rgb="FF094527"/>
      <color rgb="FF0E8449"/>
      <color rgb="FF15CD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3"/>
  <sheetViews>
    <sheetView tabSelected="1" zoomScaleNormal="100" workbookViewId="0">
      <selection activeCell="A2" sqref="A2"/>
    </sheetView>
  </sheetViews>
  <sheetFormatPr defaultColWidth="0" defaultRowHeight="19.95" customHeight="1" zeroHeight="1" x14ac:dyDescent="0.3"/>
  <cols>
    <col min="1" max="18" width="25.77734375" style="1" customWidth="1"/>
    <col min="19" max="28" width="0" style="1" hidden="1" customWidth="1"/>
    <col min="29" max="29" width="25.77734375" hidden="1"/>
    <col min="30" max="16384" width="25.77734375" style="1" hidden="1"/>
  </cols>
  <sheetData>
    <row r="1" spans="1:29" s="14" customFormat="1" ht="19.95" customHeight="1" x14ac:dyDescent="0.3">
      <c r="A1" s="15" t="s">
        <v>17</v>
      </c>
      <c r="B1" s="15" t="s">
        <v>2</v>
      </c>
      <c r="C1" s="15" t="s">
        <v>0</v>
      </c>
      <c r="D1" s="16" t="s">
        <v>15</v>
      </c>
      <c r="E1" s="16" t="s">
        <v>16</v>
      </c>
      <c r="F1" s="16" t="s">
        <v>3</v>
      </c>
      <c r="G1" s="16" t="s">
        <v>4</v>
      </c>
      <c r="H1" s="16" t="s">
        <v>5</v>
      </c>
      <c r="I1" s="16" t="s">
        <v>6</v>
      </c>
      <c r="J1" s="16" t="s">
        <v>1</v>
      </c>
      <c r="K1" s="16" t="s">
        <v>7</v>
      </c>
      <c r="L1" s="16" t="s">
        <v>13</v>
      </c>
      <c r="M1" s="16" t="s">
        <v>14</v>
      </c>
      <c r="N1" s="16" t="s">
        <v>8</v>
      </c>
      <c r="O1" s="16" t="s">
        <v>12</v>
      </c>
      <c r="P1" s="16" t="s">
        <v>18</v>
      </c>
      <c r="Q1" s="16" t="s">
        <v>9</v>
      </c>
      <c r="R1" s="16" t="s">
        <v>10</v>
      </c>
      <c r="S1" s="11"/>
      <c r="T1" s="11"/>
      <c r="U1" s="11"/>
      <c r="V1" s="10"/>
      <c r="W1" s="10"/>
      <c r="X1" s="10"/>
      <c r="Y1" s="12"/>
      <c r="Z1" s="10"/>
      <c r="AA1" s="10"/>
      <c r="AB1" s="10" t="s">
        <v>11</v>
      </c>
      <c r="AC1" s="13"/>
    </row>
    <row r="2" spans="1:29" s="3" customFormat="1" ht="19.95" customHeight="1" x14ac:dyDescent="0.3">
      <c r="A2" s="30" t="s">
        <v>19</v>
      </c>
      <c r="B2" s="30" t="s">
        <v>22</v>
      </c>
      <c r="C2" s="30" t="s">
        <v>23</v>
      </c>
      <c r="D2" s="17" t="s">
        <v>24</v>
      </c>
      <c r="E2" s="17" t="s">
        <v>24</v>
      </c>
      <c r="F2" s="17" t="s">
        <v>25</v>
      </c>
      <c r="G2" s="17" t="s">
        <v>26</v>
      </c>
      <c r="H2" s="17" t="s">
        <v>27</v>
      </c>
      <c r="I2" s="17" t="s">
        <v>28</v>
      </c>
      <c r="J2" s="17" t="s">
        <v>29</v>
      </c>
      <c r="K2" s="17" t="s">
        <v>30</v>
      </c>
      <c r="L2" s="17" t="s">
        <v>31</v>
      </c>
      <c r="M2" s="17" t="s">
        <v>32</v>
      </c>
      <c r="N2" s="20">
        <v>25</v>
      </c>
      <c r="O2" s="17" t="s">
        <v>20</v>
      </c>
      <c r="P2" s="17" t="s">
        <v>21</v>
      </c>
      <c r="Q2" s="17" t="s">
        <v>33</v>
      </c>
      <c r="R2" s="17" t="s">
        <v>34</v>
      </c>
      <c r="S2" s="5"/>
      <c r="T2" s="5"/>
      <c r="U2" s="8"/>
      <c r="V2" s="9"/>
      <c r="W2" s="4"/>
      <c r="X2" s="4"/>
      <c r="Y2" s="7"/>
      <c r="Z2" s="4"/>
      <c r="AA2" s="4"/>
      <c r="AB2" s="6">
        <f>IF(B2="",0,1)</f>
        <v>1</v>
      </c>
      <c r="AC2"/>
    </row>
    <row r="3" spans="1:29" s="3" customFormat="1" ht="19.95" customHeight="1" x14ac:dyDescent="0.3">
      <c r="A3" s="30"/>
      <c r="B3" s="30"/>
      <c r="C3" s="30"/>
      <c r="D3" s="17"/>
      <c r="E3" s="17"/>
      <c r="F3" s="17"/>
      <c r="G3" s="17"/>
      <c r="H3" s="17"/>
      <c r="I3" s="17"/>
      <c r="J3" s="17"/>
      <c r="K3" s="17"/>
      <c r="L3" s="17"/>
      <c r="M3" s="17"/>
      <c r="N3" s="20"/>
      <c r="O3" s="17"/>
      <c r="P3" s="17"/>
      <c r="Q3" s="17"/>
      <c r="R3" s="17"/>
      <c r="S3" s="5"/>
      <c r="T3" s="5"/>
      <c r="U3" s="8"/>
      <c r="V3" s="9"/>
      <c r="W3" s="4"/>
      <c r="X3" s="4"/>
      <c r="Y3" s="7"/>
      <c r="Z3" s="4"/>
      <c r="AA3" s="4"/>
      <c r="AB3" s="6">
        <f>IF(B3="",0,1)</f>
        <v>0</v>
      </c>
      <c r="AC3"/>
    </row>
    <row r="4" spans="1:29" s="3" customFormat="1" ht="19.95" customHeight="1" x14ac:dyDescent="0.3">
      <c r="A4" s="30"/>
      <c r="B4" s="30"/>
      <c r="C4" s="30"/>
      <c r="D4" s="17"/>
      <c r="E4" s="17"/>
      <c r="F4" s="17"/>
      <c r="G4" s="17"/>
      <c r="H4" s="17"/>
      <c r="I4" s="17"/>
      <c r="J4" s="17"/>
      <c r="K4" s="17"/>
      <c r="L4" s="17"/>
      <c r="M4" s="17"/>
      <c r="N4" s="20"/>
      <c r="O4" s="17"/>
      <c r="P4" s="17"/>
      <c r="Q4" s="17"/>
      <c r="R4" s="17"/>
      <c r="S4" s="5"/>
      <c r="T4" s="5"/>
      <c r="U4" s="8"/>
      <c r="V4" s="9"/>
      <c r="W4" s="4"/>
      <c r="X4" s="4"/>
      <c r="Y4" s="7"/>
      <c r="Z4" s="4"/>
      <c r="AA4" s="4"/>
      <c r="AB4" s="6">
        <f>IF(B4="",0,1)</f>
        <v>0</v>
      </c>
      <c r="AC4"/>
    </row>
    <row r="5" spans="1:29" s="3" customFormat="1" ht="19.95" customHeight="1" x14ac:dyDescent="0.3">
      <c r="A5" s="30"/>
      <c r="B5" s="30"/>
      <c r="C5" s="30"/>
      <c r="D5" s="17"/>
      <c r="E5" s="17"/>
      <c r="F5" s="17"/>
      <c r="G5" s="17"/>
      <c r="H5" s="17"/>
      <c r="I5" s="17"/>
      <c r="J5" s="17"/>
      <c r="K5" s="17"/>
      <c r="L5" s="17"/>
      <c r="M5" s="17"/>
      <c r="N5" s="20"/>
      <c r="O5" s="17"/>
      <c r="P5" s="17"/>
      <c r="Q5" s="17"/>
      <c r="R5" s="17"/>
      <c r="S5" s="5"/>
      <c r="T5" s="5"/>
      <c r="U5" s="8"/>
      <c r="V5" s="9"/>
      <c r="W5" s="4"/>
      <c r="X5" s="4"/>
      <c r="Y5" s="7"/>
      <c r="Z5" s="4"/>
      <c r="AA5" s="4"/>
      <c r="AB5" s="6">
        <f t="shared" ref="AB5:AB12" si="0">IF(B5="",0,1)</f>
        <v>0</v>
      </c>
      <c r="AC5"/>
    </row>
    <row r="6" spans="1:29" s="29" customFormat="1" ht="19.95" customHeight="1" x14ac:dyDescent="0.3">
      <c r="A6" s="21"/>
      <c r="B6" s="21"/>
      <c r="C6" s="21"/>
      <c r="D6" s="21"/>
      <c r="E6" s="21"/>
      <c r="F6" s="21"/>
      <c r="G6" s="21"/>
      <c r="H6" s="21"/>
      <c r="I6" s="21"/>
      <c r="J6" s="21"/>
      <c r="K6" s="21"/>
      <c r="L6" s="21"/>
      <c r="M6" s="21"/>
      <c r="N6" s="22"/>
      <c r="O6" s="21"/>
      <c r="P6" s="21"/>
      <c r="Q6" s="21"/>
      <c r="R6" s="21"/>
      <c r="S6" s="23"/>
      <c r="T6" s="23"/>
      <c r="U6" s="24"/>
      <c r="V6" s="25"/>
      <c r="W6" s="26"/>
      <c r="X6" s="26"/>
      <c r="Y6" s="27"/>
      <c r="Z6" s="26"/>
      <c r="AA6" s="26"/>
      <c r="AB6" s="26">
        <f t="shared" si="0"/>
        <v>0</v>
      </c>
      <c r="AC6" s="28"/>
    </row>
    <row r="7" spans="1:29" s="29" customFormat="1" ht="19.95" customHeight="1" x14ac:dyDescent="0.3">
      <c r="A7" s="21"/>
      <c r="B7" s="21"/>
      <c r="C7" s="21"/>
      <c r="D7" s="21"/>
      <c r="E7" s="21"/>
      <c r="F7" s="21"/>
      <c r="G7" s="21"/>
      <c r="H7" s="21"/>
      <c r="I7" s="21"/>
      <c r="J7" s="21"/>
      <c r="K7" s="21"/>
      <c r="L7" s="21"/>
      <c r="M7" s="21"/>
      <c r="N7" s="22"/>
      <c r="O7" s="21"/>
      <c r="P7" s="21"/>
      <c r="Q7" s="21"/>
      <c r="R7" s="21"/>
      <c r="S7" s="23"/>
      <c r="T7" s="23"/>
      <c r="U7" s="24"/>
      <c r="V7" s="25"/>
      <c r="W7" s="26"/>
      <c r="X7" s="26"/>
      <c r="Y7" s="27"/>
      <c r="Z7" s="26"/>
      <c r="AA7" s="26"/>
      <c r="AB7" s="26">
        <f t="shared" si="0"/>
        <v>0</v>
      </c>
      <c r="AC7" s="28"/>
    </row>
    <row r="8" spans="1:29" s="29" customFormat="1" ht="19.95" customHeight="1" x14ac:dyDescent="0.3">
      <c r="A8" s="21"/>
      <c r="B8" s="21"/>
      <c r="C8" s="21"/>
      <c r="D8" s="21"/>
      <c r="E8" s="21"/>
      <c r="F8" s="21"/>
      <c r="G8" s="21"/>
      <c r="H8" s="21"/>
      <c r="I8" s="21"/>
      <c r="J8" s="21"/>
      <c r="K8" s="21"/>
      <c r="L8" s="21"/>
      <c r="M8" s="21"/>
      <c r="N8" s="22"/>
      <c r="O8" s="21"/>
      <c r="P8" s="21"/>
      <c r="Q8" s="21"/>
      <c r="R8" s="21"/>
      <c r="S8" s="23"/>
      <c r="T8" s="23"/>
      <c r="U8" s="24"/>
      <c r="V8" s="25"/>
      <c r="W8" s="26"/>
      <c r="X8" s="26"/>
      <c r="Y8" s="27"/>
      <c r="Z8" s="26"/>
      <c r="AA8" s="26"/>
      <c r="AB8" s="26">
        <f t="shared" si="0"/>
        <v>0</v>
      </c>
      <c r="AC8" s="28"/>
    </row>
    <row r="9" spans="1:29" s="29" customFormat="1" ht="19.95" customHeight="1" x14ac:dyDescent="0.3">
      <c r="A9" s="21"/>
      <c r="B9" s="21"/>
      <c r="C9" s="21"/>
      <c r="D9" s="21"/>
      <c r="E9" s="21"/>
      <c r="F9" s="21"/>
      <c r="G9" s="21"/>
      <c r="H9" s="21"/>
      <c r="I9" s="21"/>
      <c r="J9" s="21"/>
      <c r="K9" s="21"/>
      <c r="L9" s="21"/>
      <c r="M9" s="21"/>
      <c r="N9" s="22"/>
      <c r="O9" s="21"/>
      <c r="P9" s="21"/>
      <c r="Q9" s="21"/>
      <c r="R9" s="21"/>
      <c r="S9" s="23"/>
      <c r="T9" s="23"/>
      <c r="U9" s="24"/>
      <c r="V9" s="25"/>
      <c r="W9" s="26"/>
      <c r="X9" s="26"/>
      <c r="Y9" s="27"/>
      <c r="Z9" s="26"/>
      <c r="AA9" s="26"/>
      <c r="AB9" s="26">
        <f t="shared" si="0"/>
        <v>0</v>
      </c>
      <c r="AC9" s="28"/>
    </row>
    <row r="10" spans="1:29" s="3" customFormat="1" ht="19.95" customHeight="1" x14ac:dyDescent="0.3">
      <c r="A10" s="30"/>
      <c r="B10" s="30"/>
      <c r="C10" s="30"/>
      <c r="D10" s="17"/>
      <c r="E10" s="17"/>
      <c r="F10" s="17"/>
      <c r="G10" s="17"/>
      <c r="H10" s="17"/>
      <c r="I10" s="17"/>
      <c r="J10" s="17"/>
      <c r="K10" s="17"/>
      <c r="L10" s="17"/>
      <c r="M10" s="17"/>
      <c r="N10" s="20"/>
      <c r="O10" s="17"/>
      <c r="P10" s="17"/>
      <c r="Q10" s="17"/>
      <c r="R10" s="17"/>
      <c r="S10" s="5"/>
      <c r="T10" s="5"/>
      <c r="U10" s="8"/>
      <c r="V10" s="9"/>
      <c r="W10" s="4"/>
      <c r="X10" s="4"/>
      <c r="Y10" s="7"/>
      <c r="Z10" s="4"/>
      <c r="AA10" s="4"/>
      <c r="AB10" s="6">
        <f t="shared" si="0"/>
        <v>0</v>
      </c>
      <c r="AC10"/>
    </row>
    <row r="11" spans="1:29" s="3" customFormat="1" ht="19.95" customHeight="1" x14ac:dyDescent="0.3">
      <c r="A11" s="30"/>
      <c r="B11" s="30"/>
      <c r="C11" s="30"/>
      <c r="D11" s="17"/>
      <c r="E11" s="17"/>
      <c r="F11" s="17"/>
      <c r="G11" s="17"/>
      <c r="H11" s="17"/>
      <c r="I11" s="17"/>
      <c r="J11" s="17"/>
      <c r="K11" s="17"/>
      <c r="L11" s="17"/>
      <c r="M11" s="17"/>
      <c r="N11" s="20"/>
      <c r="O11" s="17"/>
      <c r="P11" s="17"/>
      <c r="Q11" s="17"/>
      <c r="R11" s="17"/>
      <c r="S11" s="5"/>
      <c r="T11" s="5"/>
      <c r="U11" s="8"/>
      <c r="V11" s="9"/>
      <c r="W11" s="4"/>
      <c r="X11" s="4"/>
      <c r="Y11" s="7"/>
      <c r="Z11" s="4"/>
      <c r="AA11" s="4"/>
      <c r="AB11" s="6">
        <f t="shared" si="0"/>
        <v>0</v>
      </c>
      <c r="AC11"/>
    </row>
    <row r="12" spans="1:29" s="3" customFormat="1" ht="19.95" customHeight="1" x14ac:dyDescent="0.3">
      <c r="A12" s="31"/>
      <c r="B12" s="31"/>
      <c r="C12" s="31"/>
      <c r="D12" s="17"/>
      <c r="E12" s="17"/>
      <c r="F12" s="17"/>
      <c r="G12" s="18"/>
      <c r="H12" s="18"/>
      <c r="I12" s="18"/>
      <c r="J12" s="17"/>
      <c r="K12" s="18"/>
      <c r="L12" s="18"/>
      <c r="M12" s="18"/>
      <c r="N12" s="20"/>
      <c r="O12" s="19"/>
      <c r="P12" s="19"/>
      <c r="Q12" s="19"/>
      <c r="R12" s="18"/>
      <c r="S12" s="4"/>
      <c r="T12" s="4"/>
      <c r="U12" s="8"/>
      <c r="V12" s="9"/>
      <c r="W12" s="4"/>
      <c r="X12" s="4"/>
      <c r="Y12" s="7"/>
      <c r="Z12" s="4"/>
      <c r="AA12" s="4"/>
      <c r="AB12" s="6">
        <f t="shared" si="0"/>
        <v>0</v>
      </c>
      <c r="AC12"/>
    </row>
    <row r="13" spans="1:29" s="3" customFormat="1" ht="19.95" customHeight="1" x14ac:dyDescent="0.3">
      <c r="A13" s="31"/>
      <c r="B13" s="31"/>
      <c r="C13" s="31"/>
      <c r="D13" s="17"/>
      <c r="E13" s="17"/>
      <c r="F13" s="17"/>
      <c r="G13" s="18"/>
      <c r="H13" s="18"/>
      <c r="I13" s="18"/>
      <c r="J13" s="18"/>
      <c r="K13" s="18"/>
      <c r="L13" s="18"/>
      <c r="M13" s="18"/>
      <c r="N13" s="20"/>
      <c r="O13" s="18"/>
      <c r="P13" s="18"/>
      <c r="Q13" s="18"/>
      <c r="R13" s="18"/>
      <c r="S13" s="4"/>
      <c r="T13" s="4"/>
      <c r="U13" s="8"/>
      <c r="V13" s="9"/>
      <c r="W13" s="4"/>
      <c r="X13" s="4"/>
      <c r="Y13" s="7"/>
      <c r="Z13" s="4"/>
      <c r="AA13" s="4"/>
      <c r="AB13" s="6">
        <f>IF(B13="",0,VLOOKUP(Z13,Planilha1!#REF!,2,FALSE))</f>
        <v>0</v>
      </c>
      <c r="AC13"/>
    </row>
  </sheetData>
  <sheetProtection sheet="1" objects="1" scenarios="1"/>
  <phoneticPr fontId="8" type="noConversion"/>
  <conditionalFormatting sqref="J1:J1048576">
    <cfRule type="duplicateValues" dxfId="1" priority="1"/>
  </conditionalFormatting>
  <conditionalFormatting sqref="K12:M1048576 K1">
    <cfRule type="duplicateValues" dxfId="0" priority="2"/>
  </conditionalFormatting>
  <dataValidations count="12">
    <dataValidation type="list" allowBlank="1" showInputMessage="1" showErrorMessage="1" sqref="W12:W13" xr:uid="{AEBEAE45-30D1-4542-A1D6-EBC88D16BDC1}">
      <formula1>"KG, L, Ds"</formula1>
    </dataValidation>
    <dataValidation type="list" allowBlank="1" showInputMessage="1" showErrorMessage="1" sqref="AA12:AA13 AB13" xr:uid="{515AD032-001C-4B14-8366-B098E8D106E9}">
      <formula1>"NITRO, FORNECEDOR, DEVOLUÇÃO"</formula1>
    </dataValidation>
    <dataValidation type="list" allowBlank="1" showInputMessage="1" showErrorMessage="1" sqref="X12:X13" xr:uid="{9224D280-D2F8-4702-BD9E-3A2E00F78617}">
      <formula1>"Saco, Bombona, Palete, Caixa, Big Bag, Galão"</formula1>
    </dataValidation>
    <dataValidation type="list" allowBlank="1" showInputMessage="1" showErrorMessage="1" sqref="I12:I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I12:I13 G12:G13" xr:uid="{A9DDEBF6-CC05-4C4C-B66F-05CC7D4CAF45}">
      <formula1>"Cuiabá, Hortolândia"</formula1>
    </dataValidation>
    <dataValidation type="list" allowBlank="1" showInputMessage="1" showErrorMessage="1" sqref="J13" xr:uid="{EE69AD02-7E08-441A-857C-3BD9A1515FF8}">
      <formula1>"FORNECEDOR, DEVOLUÇÃO CLIENTE, VZP NITRO, HORT, CUIABÁ"</formula1>
    </dataValidation>
    <dataValidation type="list" allowBlank="1" showInputMessage="1" showErrorMessage="1" sqref="F2:F11" xr:uid="{1FA120A8-14C6-4F7D-BB1D-E2BEE940ECF5}">
      <formula1>"Conferência, Movimentação Interna ou armazenagem, Separação, Expedição - Carregamento"</formula1>
    </dataValidation>
    <dataValidation type="list" allowBlank="1" showInputMessage="1" showErrorMessage="1" sqref="O2:O11" xr:uid="{484497D8-42F2-4C49-A4D8-BA5B5AF75B7A}">
      <formula1>"KG, L"</formula1>
    </dataValidation>
    <dataValidation type="list" allowBlank="1" showInputMessage="1" showErrorMessage="1" sqref="D2:D11" xr:uid="{D2B05375-3588-42D9-8BB7-56B59A51B1EE}">
      <formula1>"MMCM - HOR, MMCM - CBA"</formula1>
    </dataValidation>
    <dataValidation type="list" allowBlank="1" showInputMessage="1" showErrorMessage="1" sqref="E2:E11" xr:uid="{41EB2888-F11E-456C-A00B-F6AF89D6614F}">
      <formula1>"MMCM - HOR, MMCM - CBA, NITRO"</formula1>
    </dataValidation>
    <dataValidation type="list" allowBlank="1" showInputMessage="1" showErrorMessage="1" sqref="A2:A11" xr:uid="{2E0B6B3D-1179-4B3F-8778-41DC49DAEC8D}">
      <formula1>"Rasgada /Amassada, Vazando"</formula1>
    </dataValidation>
    <dataValidation type="list" allowBlank="1" showInputMessage="1" showErrorMessage="1" sqref="P2:P11" xr:uid="{63B1DB81-B8D8-4975-B6A0-4F650D7213C9}">
      <formula1>"Sacaria, Bombona, Embalagem molhada, Válvula, Galão"</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Planilha1!#REF!</xm:f>
          </x14:formula1>
          <xm:sqref>Z12:Z13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2026-04-02T11:53:22Z</dcterms:modified>
</cp:coreProperties>
</file>