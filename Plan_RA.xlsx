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A317590F-30E3-43A0-A236-4B99565BBE7A}"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2" i="1" l="1"/>
  <c r="S11" i="1"/>
  <c r="S10" i="1"/>
  <c r="S9" i="1"/>
  <c r="S8" i="1"/>
  <c r="S7" i="1"/>
  <c r="S6" i="1"/>
  <c r="S5" i="1"/>
  <c r="S3" i="1"/>
  <c r="S4" i="1"/>
  <c r="S2" i="1"/>
  <c r="S13" i="1"/>
</calcChain>
</file>

<file path=xl/sharedStrings.xml><?xml version="1.0" encoding="utf-8"?>
<sst xmlns="http://schemas.openxmlformats.org/spreadsheetml/2006/main" count="87" uniqueCount="56">
  <si>
    <t>PASTA-ANEXOS</t>
  </si>
  <si>
    <t>SKU</t>
  </si>
  <si>
    <t>NUM-RA</t>
  </si>
  <si>
    <t>MOMENTO</t>
  </si>
  <si>
    <t>NF-RECEBIMENTO</t>
  </si>
  <si>
    <t>NOME-PRODUTO</t>
  </si>
  <si>
    <t>CODIGO-PRODUTO</t>
  </si>
  <si>
    <t>LOTE</t>
  </si>
  <si>
    <t>QUANTIDADE</t>
  </si>
  <si>
    <t>DESCRICAO</t>
  </si>
  <si>
    <t>RESPONSAVEL</t>
  </si>
  <si>
    <t>AUTO</t>
  </si>
  <si>
    <t>UNI-MEDIDA</t>
  </si>
  <si>
    <t>DATA-FABRI</t>
  </si>
  <si>
    <t>DATA-VALI</t>
  </si>
  <si>
    <t>UNIDADE-OCORRIDO</t>
  </si>
  <si>
    <t>UNIDADE-RESPONSAVEL</t>
  </si>
  <si>
    <t>TIPO-AVARIA</t>
  </si>
  <si>
    <t>TIPO-EMBALAGEM</t>
  </si>
  <si>
    <t>MMCM - HOR</t>
  </si>
  <si>
    <t>119</t>
  </si>
  <si>
    <t>ra01</t>
  </si>
  <si>
    <t>ra02</t>
  </si>
  <si>
    <t>Rasgada /Amassada</t>
  </si>
  <si>
    <t>120</t>
  </si>
  <si>
    <t>121</t>
  </si>
  <si>
    <t>ra03</t>
  </si>
  <si>
    <t>Movimentação Interna ou armazenagem</t>
  </si>
  <si>
    <t>SPEED CANA SCX25KG</t>
  </si>
  <si>
    <t>510002</t>
  </si>
  <si>
    <t>76180/26</t>
  </si>
  <si>
    <t>10962</t>
  </si>
  <si>
    <t>7023066</t>
  </si>
  <si>
    <t>14/04/2029</t>
  </si>
  <si>
    <t>KG</t>
  </si>
  <si>
    <t>Sacaria</t>
  </si>
  <si>
    <t>Durante movimentação interna, foi identificada a seguinte não conformidade física: A) O produto SPEED CANA SCX25KG (Lote 76180/26) apresentou avaria em 02 sacarias, totalizando 50kg. No momento da movimentação, constatou-se que as embalagens estavam rasgadas, resultando em vazamento de produto e exposição do conteúdo ao ambiente. O volume foi segregado.</t>
  </si>
  <si>
    <t>Rodrigo</t>
  </si>
  <si>
    <t>14/04/2026</t>
  </si>
  <si>
    <t>122</t>
  </si>
  <si>
    <t>ra04</t>
  </si>
  <si>
    <t>10970</t>
  </si>
  <si>
    <t>10966</t>
  </si>
  <si>
    <t>76181/26</t>
  </si>
  <si>
    <t>7023201</t>
  </si>
  <si>
    <t>15/04/2026</t>
  </si>
  <si>
    <t>15/04/2029</t>
  </si>
  <si>
    <t>Durante movimentação interna, foi identificada a seguinte não conformidade física: A) O produto SPEED CANA SCX25KG (Lote 76181/26) apresentou avaria em 02 sacarias, totalizando 50kg. As embalagens foram identificadas como rasgadas, causando o vazamento de parte do conteúdo e comprometendo a integridade do pallet. O volume foi imediatamente segregado.</t>
  </si>
  <si>
    <t>10983</t>
  </si>
  <si>
    <t>76182/26</t>
  </si>
  <si>
    <t>7023617</t>
  </si>
  <si>
    <t>16/04/2026</t>
  </si>
  <si>
    <t>16/04/2029</t>
  </si>
  <si>
    <t>Durante movimentação interna, foi identificada a seguinte não conformidade física: A) O produto SPEED CANA SCX25KG (Lote 76182/26) apresentou avaria em 01 sacaria, totalizando 25kg. A embalagem foi identificada como rasgada, resultando na exposição do produto e necessidade de intervenção imediata. O volume foi segregado.</t>
  </si>
  <si>
    <t>7022961</t>
  </si>
  <si>
    <t>Durante movimentação interna, foi identificada a seguinte não conformidade física: A) O produto SPEED CANA SCX25KG (Lote 76181/26) apresentou avaria em 01 sacaria, totalizando 25kg. A embalagem foi identificada como rasgada, comprometendo a proteção do conteúdo e gerando vazamento no pallet. O volume foi imediatamente segregado.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</si>
</sst>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2"/>
      <color theme="1"/>
      <name val="Calibri"/>
      <family val="2"/>
      <scheme val="minor"/>
    </font>
    <font>
      <u/>
      <sz val="12"/>
      <color theme="0"/>
      <name val="Calibri"/>
      <family val="2"/>
      <scheme val="minor"/>
    </font>
    <font>
      <sz val="11"/>
      <name val="Calibri"/>
      <family val="2"/>
      <scheme val="minor"/>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5">
    <fill>
      <patternFill patternType="none"/>
    </fill>
    <fill>
      <patternFill patternType="gray125"/>
    </fill>
    <fill>
      <patternFill patternType="solid">
        <fgColor rgb="FF094527"/>
        <bgColor indexed="64"/>
      </patternFill>
    </fill>
    <fill>
      <patternFill patternType="solid">
        <fgColor rgb="FF158D62"/>
        <bgColor indexed="64"/>
      </patternFill>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49" fontId="1" fillId="0" borderId="0" xfId="0" applyNumberFormat="1" applyFont="1" applyAlignment="1">
      <alignment horizontal="left"/>
    </xf>
    <xf numFmtId="0" fontId="3" fillId="0" borderId="0" xfId="0" applyFont="1"/>
    <xf numFmtId="0" fontId="1" fillId="0" borderId="0" xfId="0" applyFont="1" applyAlignment="1">
      <alignment horizontal="left"/>
    </xf>
    <xf numFmtId="0" fontId="1" fillId="0" borderId="1" xfId="0" applyFont="1" applyBorder="1" applyAlignment="1">
      <alignment horizontal="left"/>
    </xf>
    <xf numFmtId="49" fontId="5" fillId="2" borderId="1" xfId="0" applyNumberFormat="1" applyFont="1" applyFill="1" applyBorder="1" applyAlignment="1">
      <alignment horizontal="left"/>
    </xf>
    <xf numFmtId="49" fontId="4" fillId="2" borderId="0" xfId="0" applyNumberFormat="1" applyFont="1" applyFill="1" applyAlignment="1">
      <alignment horizontal="left"/>
    </xf>
    <xf numFmtId="49" fontId="2" fillId="2" borderId="0" xfId="0" applyNumberFormat="1" applyFont="1" applyFill="1" applyAlignment="1">
      <alignment horizontal="left"/>
    </xf>
    <xf numFmtId="49" fontId="7" fillId="3" borderId="1" xfId="0" applyNumberFormat="1" applyFont="1" applyFill="1" applyBorder="1" applyAlignment="1">
      <alignment horizontal="left"/>
    </xf>
    <xf numFmtId="49" fontId="8" fillId="3" borderId="1" xfId="0" applyNumberFormat="1" applyFont="1" applyFill="1" applyBorder="1" applyAlignment="1">
      <alignment horizontal="left"/>
    </xf>
    <xf numFmtId="49" fontId="0" fillId="0" borderId="1" xfId="0" applyNumberFormat="1" applyBorder="1" applyAlignment="1" applyProtection="1">
      <alignment horizontal="left"/>
      <protection locked="0"/>
    </xf>
    <xf numFmtId="0" fontId="0" fillId="0" borderId="1" xfId="0" applyBorder="1" applyAlignment="1" applyProtection="1">
      <alignment horizontal="left"/>
      <protection locked="0"/>
    </xf>
    <xf numFmtId="14" fontId="0" fillId="0" borderId="1" xfId="0" applyNumberFormat="1" applyBorder="1" applyAlignment="1" applyProtection="1">
      <alignment horizontal="left"/>
      <protection locked="0"/>
    </xf>
    <xf numFmtId="1" fontId="0" fillId="0" borderId="1" xfId="0" applyNumberFormat="1" applyBorder="1" applyAlignment="1" applyProtection="1">
      <alignment horizontal="left"/>
      <protection locked="0"/>
    </xf>
    <xf numFmtId="49" fontId="0" fillId="4" borderId="1" xfId="0" applyNumberFormat="1" applyFill="1" applyBorder="1" applyAlignment="1" applyProtection="1">
      <alignment horizontal="left"/>
      <protection locked="0"/>
    </xf>
    <xf numFmtId="1" fontId="0" fillId="4" borderId="1" xfId="0" applyNumberFormat="1" applyFill="1" applyBorder="1" applyAlignment="1" applyProtection="1">
      <alignment horizontal="left"/>
      <protection locked="0"/>
    </xf>
    <xf numFmtId="0" fontId="1" fillId="4" borderId="1" xfId="0" applyFont="1" applyFill="1" applyBorder="1" applyAlignment="1" applyProtection="1">
      <alignment horizontal="left"/>
      <protection locked="0"/>
    </xf>
    <xf numFmtId="0" fontId="0" fillId="4" borderId="0" xfId="0" applyFill="1"/>
    <xf numFmtId="0" fontId="1" fillId="4" borderId="0" xfId="0" applyFont="1" applyFill="1" applyAlignment="1">
      <alignment horizontal="left"/>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58D62"/>
      <color rgb="FF094527"/>
      <color rgb="FF0E8449"/>
      <color rgb="FF15CD4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3"/>
  <sheetViews>
    <sheetView tabSelected="1" topLeftCell="K1" zoomScaleNormal="100" workbookViewId="0">
      <selection activeCell="Q3" sqref="Q3"/>
    </sheetView>
  </sheetViews>
  <sheetFormatPr defaultColWidth="0" defaultRowHeight="19.95" customHeight="1" zeroHeight="1" x14ac:dyDescent="0.3"/>
  <cols>
    <col min="1" max="18" width="25.77734375" style="1" customWidth="1"/>
    <col min="19" max="19" width="25.77734375" style="1" hidden="1" customWidth="1"/>
    <col min="20" max="20" width="25.77734375" hidden="1" customWidth="1"/>
    <col min="21" max="16384" width="25.77734375" style="1" hidden="1"/>
  </cols>
  <sheetData>
    <row r="1" spans="1:20" s="7" customFormat="1" ht="19.95" customHeight="1" x14ac:dyDescent="0.3">
      <c r="A1" s="9" t="s">
        <v>17</v>
      </c>
      <c r="B1" s="9" t="s">
        <v>2</v>
      </c>
      <c r="C1" s="9" t="s">
        <v>0</v>
      </c>
      <c r="D1" s="9" t="s">
        <v>15</v>
      </c>
      <c r="E1" s="9" t="s">
        <v>16</v>
      </c>
      <c r="F1" s="9" t="s">
        <v>3</v>
      </c>
      <c r="G1" s="8" t="s">
        <v>5</v>
      </c>
      <c r="H1" s="8" t="s">
        <v>4</v>
      </c>
      <c r="I1" s="8" t="s">
        <v>7</v>
      </c>
      <c r="J1" s="9" t="s">
        <v>6</v>
      </c>
      <c r="K1" s="9" t="s">
        <v>1</v>
      </c>
      <c r="L1" s="9" t="s">
        <v>13</v>
      </c>
      <c r="M1" s="9" t="s">
        <v>14</v>
      </c>
      <c r="N1" s="9" t="s">
        <v>8</v>
      </c>
      <c r="O1" s="9" t="s">
        <v>12</v>
      </c>
      <c r="P1" s="9" t="s">
        <v>18</v>
      </c>
      <c r="Q1" s="9" t="s">
        <v>9</v>
      </c>
      <c r="R1" s="9" t="s">
        <v>10</v>
      </c>
      <c r="S1" s="5" t="s">
        <v>11</v>
      </c>
      <c r="T1" s="6"/>
    </row>
    <row r="2" spans="1:20" s="3" customFormat="1" ht="19.95" customHeight="1" x14ac:dyDescent="0.3">
      <c r="A2" s="10" t="s">
        <v>23</v>
      </c>
      <c r="B2" s="10" t="s">
        <v>20</v>
      </c>
      <c r="C2" s="10" t="s">
        <v>21</v>
      </c>
      <c r="D2" s="10" t="s">
        <v>19</v>
      </c>
      <c r="E2" s="10" t="s">
        <v>19</v>
      </c>
      <c r="F2" s="10" t="s">
        <v>27</v>
      </c>
      <c r="G2" s="10" t="s">
        <v>28</v>
      </c>
      <c r="H2" s="10" t="s">
        <v>41</v>
      </c>
      <c r="I2" s="10" t="s">
        <v>43</v>
      </c>
      <c r="J2" s="10" t="s">
        <v>29</v>
      </c>
      <c r="K2" s="10" t="s">
        <v>54</v>
      </c>
      <c r="L2" s="10" t="s">
        <v>45</v>
      </c>
      <c r="M2" s="10" t="s">
        <v>46</v>
      </c>
      <c r="N2" s="13">
        <v>25</v>
      </c>
      <c r="O2" s="10" t="s">
        <v>34</v>
      </c>
      <c r="P2" s="10" t="s">
        <v>35</v>
      </c>
      <c r="Q2" s="10" t="s">
        <v>55</v>
      </c>
      <c r="R2" s="10" t="s">
        <v>37</v>
      </c>
      <c r="S2" s="4">
        <f>IF(B2="",0,1)</f>
        <v>1</v>
      </c>
      <c r="T2"/>
    </row>
    <row r="3" spans="1:20" s="3" customFormat="1" ht="19.95" customHeight="1" x14ac:dyDescent="0.3">
      <c r="A3" s="10" t="s">
        <v>23</v>
      </c>
      <c r="B3" s="10" t="s">
        <v>24</v>
      </c>
      <c r="C3" s="10" t="s">
        <v>22</v>
      </c>
      <c r="D3" s="10" t="s">
        <v>19</v>
      </c>
      <c r="E3" s="10" t="s">
        <v>19</v>
      </c>
      <c r="F3" s="10" t="s">
        <v>27</v>
      </c>
      <c r="G3" s="10" t="s">
        <v>28</v>
      </c>
      <c r="H3" s="10" t="s">
        <v>31</v>
      </c>
      <c r="I3" s="10" t="s">
        <v>30</v>
      </c>
      <c r="J3" s="10" t="s">
        <v>29</v>
      </c>
      <c r="K3" s="10" t="s">
        <v>32</v>
      </c>
      <c r="L3" s="10" t="s">
        <v>38</v>
      </c>
      <c r="M3" s="10" t="s">
        <v>33</v>
      </c>
      <c r="N3" s="13">
        <v>50</v>
      </c>
      <c r="O3" s="10" t="s">
        <v>34</v>
      </c>
      <c r="P3" s="10" t="s">
        <v>35</v>
      </c>
      <c r="Q3" s="10" t="s">
        <v>36</v>
      </c>
      <c r="R3" s="10" t="s">
        <v>37</v>
      </c>
      <c r="S3" s="4">
        <f>IF(B3="",0,1)</f>
        <v>1</v>
      </c>
      <c r="T3"/>
    </row>
    <row r="4" spans="1:20" s="3" customFormat="1" ht="19.95" customHeight="1" x14ac:dyDescent="0.3">
      <c r="A4" s="10" t="s">
        <v>23</v>
      </c>
      <c r="B4" s="10" t="s">
        <v>25</v>
      </c>
      <c r="C4" s="10" t="s">
        <v>26</v>
      </c>
      <c r="D4" s="10" t="s">
        <v>19</v>
      </c>
      <c r="E4" s="10" t="s">
        <v>19</v>
      </c>
      <c r="F4" s="10" t="s">
        <v>27</v>
      </c>
      <c r="G4" s="10" t="s">
        <v>28</v>
      </c>
      <c r="H4" s="10" t="s">
        <v>42</v>
      </c>
      <c r="I4" s="10" t="s">
        <v>43</v>
      </c>
      <c r="J4" s="10" t="s">
        <v>29</v>
      </c>
      <c r="K4" s="10" t="s">
        <v>44</v>
      </c>
      <c r="L4" s="10" t="s">
        <v>45</v>
      </c>
      <c r="M4" s="10" t="s">
        <v>46</v>
      </c>
      <c r="N4" s="13">
        <v>50</v>
      </c>
      <c r="O4" s="10" t="s">
        <v>34</v>
      </c>
      <c r="P4" s="10" t="s">
        <v>35</v>
      </c>
      <c r="Q4" s="10" t="s">
        <v>47</v>
      </c>
      <c r="R4" s="10" t="s">
        <v>37</v>
      </c>
      <c r="S4" s="4">
        <f>IF(B4="",0,1)</f>
        <v>1</v>
      </c>
      <c r="T4"/>
    </row>
    <row r="5" spans="1:20" s="3" customFormat="1" ht="19.95" customHeight="1" x14ac:dyDescent="0.3">
      <c r="A5" s="10" t="s">
        <v>23</v>
      </c>
      <c r="B5" s="10" t="s">
        <v>39</v>
      </c>
      <c r="C5" s="10" t="s">
        <v>40</v>
      </c>
      <c r="D5" s="10" t="s">
        <v>19</v>
      </c>
      <c r="E5" s="10" t="s">
        <v>19</v>
      </c>
      <c r="F5" s="10" t="s">
        <v>27</v>
      </c>
      <c r="G5" s="10" t="s">
        <v>28</v>
      </c>
      <c r="H5" s="10" t="s">
        <v>48</v>
      </c>
      <c r="I5" s="10" t="s">
        <v>49</v>
      </c>
      <c r="J5" s="10" t="s">
        <v>29</v>
      </c>
      <c r="K5" s="10" t="s">
        <v>50</v>
      </c>
      <c r="L5" s="10" t="s">
        <v>51</v>
      </c>
      <c r="M5" s="10" t="s">
        <v>52</v>
      </c>
      <c r="N5" s="13">
        <v>25</v>
      </c>
      <c r="O5" s="10" t="s">
        <v>34</v>
      </c>
      <c r="P5" s="10" t="s">
        <v>35</v>
      </c>
      <c r="Q5" s="10" t="s">
        <v>53</v>
      </c>
      <c r="R5" s="10" t="s">
        <v>37</v>
      </c>
      <c r="S5" s="4">
        <f t="shared" ref="S5:S12" si="0">IF(B5="",0,1)</f>
        <v>1</v>
      </c>
      <c r="T5"/>
    </row>
    <row r="6" spans="1:20" s="18" customFormat="1" ht="19.95" customHeight="1" x14ac:dyDescent="0.3">
      <c r="A6" s="14"/>
      <c r="B6" s="14"/>
      <c r="C6" s="14"/>
      <c r="D6" s="14"/>
      <c r="E6" s="14"/>
      <c r="F6" s="14"/>
      <c r="G6" s="14"/>
      <c r="H6" s="14"/>
      <c r="I6" s="14"/>
      <c r="J6" s="14"/>
      <c r="K6" s="14"/>
      <c r="L6" s="14"/>
      <c r="M6" s="14"/>
      <c r="N6" s="15"/>
      <c r="O6" s="14"/>
      <c r="P6" s="14"/>
      <c r="Q6" s="14"/>
      <c r="R6" s="14"/>
      <c r="S6" s="16">
        <f t="shared" si="0"/>
        <v>0</v>
      </c>
      <c r="T6" s="17"/>
    </row>
    <row r="7" spans="1:20" s="18" customFormat="1" ht="19.95" customHeight="1" x14ac:dyDescent="0.3">
      <c r="A7" s="14"/>
      <c r="B7" s="14"/>
      <c r="C7" s="14"/>
      <c r="D7" s="14"/>
      <c r="E7" s="14"/>
      <c r="F7" s="14"/>
      <c r="G7" s="14"/>
      <c r="H7" s="14"/>
      <c r="I7" s="14"/>
      <c r="J7" s="14"/>
      <c r="K7" s="14"/>
      <c r="L7" s="14"/>
      <c r="M7" s="14"/>
      <c r="N7" s="15"/>
      <c r="O7" s="14"/>
      <c r="P7" s="14"/>
      <c r="Q7" s="14"/>
      <c r="R7" s="14"/>
      <c r="S7" s="16">
        <f t="shared" si="0"/>
        <v>0</v>
      </c>
      <c r="T7" s="17"/>
    </row>
    <row r="8" spans="1:20" s="18" customFormat="1" ht="19.95" customHeight="1" x14ac:dyDescent="0.3">
      <c r="A8" s="14"/>
      <c r="B8" s="14"/>
      <c r="C8" s="14"/>
      <c r="D8" s="14"/>
      <c r="E8" s="14"/>
      <c r="F8" s="14"/>
      <c r="G8" s="14"/>
      <c r="H8" s="14"/>
      <c r="I8" s="14"/>
      <c r="J8" s="14"/>
      <c r="K8" s="14"/>
      <c r="L8" s="14"/>
      <c r="M8" s="14"/>
      <c r="N8" s="15"/>
      <c r="O8" s="14"/>
      <c r="P8" s="14"/>
      <c r="Q8" s="14"/>
      <c r="R8" s="14"/>
      <c r="S8" s="16">
        <f t="shared" si="0"/>
        <v>0</v>
      </c>
      <c r="T8" s="17"/>
    </row>
    <row r="9" spans="1:20" s="18" customFormat="1" ht="19.95" customHeight="1" x14ac:dyDescent="0.3">
      <c r="A9" s="14"/>
      <c r="B9" s="14"/>
      <c r="C9" s="14"/>
      <c r="D9" s="14"/>
      <c r="E9" s="14"/>
      <c r="F9" s="14"/>
      <c r="G9" s="14"/>
      <c r="H9" s="14"/>
      <c r="I9" s="14"/>
      <c r="J9" s="14"/>
      <c r="K9" s="14"/>
      <c r="L9" s="14"/>
      <c r="M9" s="14"/>
      <c r="N9" s="15"/>
      <c r="O9" s="14"/>
      <c r="P9" s="14"/>
      <c r="Q9" s="14"/>
      <c r="R9" s="14"/>
      <c r="S9" s="16">
        <f t="shared" si="0"/>
        <v>0</v>
      </c>
      <c r="T9" s="17"/>
    </row>
    <row r="10" spans="1:20" s="3" customFormat="1" ht="19.95" customHeight="1" x14ac:dyDescent="0.3">
      <c r="A10" s="10"/>
      <c r="B10" s="10"/>
      <c r="C10" s="10"/>
      <c r="D10" s="10"/>
      <c r="E10" s="10"/>
      <c r="F10" s="10"/>
      <c r="G10" s="10"/>
      <c r="H10" s="10"/>
      <c r="I10" s="10"/>
      <c r="J10" s="10"/>
      <c r="K10" s="10"/>
      <c r="L10" s="10"/>
      <c r="M10" s="10"/>
      <c r="N10" s="13"/>
      <c r="O10" s="10"/>
      <c r="P10" s="10"/>
      <c r="Q10" s="10"/>
      <c r="R10" s="10"/>
      <c r="S10" s="4">
        <f t="shared" si="0"/>
        <v>0</v>
      </c>
      <c r="T10"/>
    </row>
    <row r="11" spans="1:20" s="3" customFormat="1" ht="19.95" customHeight="1" x14ac:dyDescent="0.3">
      <c r="A11" s="10"/>
      <c r="B11" s="10"/>
      <c r="C11" s="10"/>
      <c r="D11" s="10"/>
      <c r="E11" s="10"/>
      <c r="F11" s="10"/>
      <c r="G11" s="10"/>
      <c r="H11" s="10"/>
      <c r="I11" s="10"/>
      <c r="J11" s="10"/>
      <c r="K11" s="10"/>
      <c r="L11" s="10"/>
      <c r="M11" s="10"/>
      <c r="N11" s="13"/>
      <c r="O11" s="10"/>
      <c r="P11" s="10"/>
      <c r="Q11" s="10"/>
      <c r="R11" s="10"/>
      <c r="S11" s="4">
        <f t="shared" si="0"/>
        <v>0</v>
      </c>
      <c r="T11"/>
    </row>
    <row r="12" spans="1:20" s="3" customFormat="1" ht="19.95" customHeight="1" x14ac:dyDescent="0.3">
      <c r="A12" s="11"/>
      <c r="B12" s="11"/>
      <c r="C12" s="11"/>
      <c r="D12" s="10"/>
      <c r="E12" s="10"/>
      <c r="F12" s="10"/>
      <c r="G12" s="11"/>
      <c r="H12" s="11"/>
      <c r="I12" s="11"/>
      <c r="J12" s="11"/>
      <c r="K12" s="10"/>
      <c r="L12" s="11"/>
      <c r="M12" s="11"/>
      <c r="N12" s="13"/>
      <c r="O12" s="12"/>
      <c r="P12" s="12"/>
      <c r="Q12" s="12"/>
      <c r="R12" s="11"/>
      <c r="S12" s="4">
        <f t="shared" si="0"/>
        <v>0</v>
      </c>
      <c r="T12"/>
    </row>
    <row r="13" spans="1:20" s="3" customFormat="1" ht="19.95" customHeight="1" x14ac:dyDescent="0.3">
      <c r="A13" s="11"/>
      <c r="B13" s="11"/>
      <c r="C13" s="11"/>
      <c r="D13" s="10"/>
      <c r="E13" s="10"/>
      <c r="F13" s="10"/>
      <c r="G13" s="11"/>
      <c r="H13" s="11"/>
      <c r="I13" s="11"/>
      <c r="J13" s="11"/>
      <c r="K13" s="11"/>
      <c r="L13" s="11"/>
      <c r="M13" s="11"/>
      <c r="N13" s="13"/>
      <c r="O13" s="11"/>
      <c r="P13" s="11"/>
      <c r="Q13" s="11"/>
      <c r="R13" s="11"/>
      <c r="S13" s="4">
        <f>IF(B13="",0,VLOOKUP(#REF!,Planilha1!#REF!,2,FALSE))</f>
        <v>0</v>
      </c>
      <c r="T13"/>
    </row>
  </sheetData>
  <sheetProtection sheet="1" objects="1" scenarios="1"/>
  <phoneticPr fontId="6" type="noConversion"/>
  <conditionalFormatting sqref="I12:I13 I1">
    <cfRule type="duplicateValues" dxfId="2" priority="1"/>
  </conditionalFormatting>
  <conditionalFormatting sqref="K1:K1048576">
    <cfRule type="duplicateValues" dxfId="1" priority="2"/>
  </conditionalFormatting>
  <conditionalFormatting sqref="L12:M1048576">
    <cfRule type="duplicateValues" dxfId="0" priority="4"/>
  </conditionalFormatting>
  <dataValidations count="10">
    <dataValidation type="list" allowBlank="1" showInputMessage="1" showErrorMessage="1" sqref="S13" xr:uid="{515AD032-001C-4B14-8366-B098E8D106E9}">
      <formula1>"NITRO, FORNECEDOR, DEVOLUÇÃO"</formula1>
    </dataValidation>
    <dataValidation type="list" allowBlank="1" showInputMessage="1" showErrorMessage="1" sqref="J12:J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J12:J13 H12:H13" xr:uid="{A9DDEBF6-CC05-4C4C-B66F-05CC7D4CAF45}">
      <formula1>"Cuiabá, Hortolândia"</formula1>
    </dataValidation>
    <dataValidation type="list" allowBlank="1" showInputMessage="1" showErrorMessage="1" sqref="K13" xr:uid="{EE69AD02-7E08-441A-857C-3BD9A1515FF8}">
      <formula1>"FORNECEDOR, DEVOLUÇÃO CLIENTE, VZP NITRO, HORT, CUIABÁ"</formula1>
    </dataValidation>
    <dataValidation type="list" allowBlank="1" showInputMessage="1" showErrorMessage="1" sqref="F2:F11" xr:uid="{1FA120A8-14C6-4F7D-BB1D-E2BEE940ECF5}">
      <formula1>"Conferência, Movimentação Interna ou armazenagem, Separação, Expedição - Carregamento"</formula1>
    </dataValidation>
    <dataValidation type="list" allowBlank="1" showInputMessage="1" showErrorMessage="1" sqref="O2:O11" xr:uid="{484497D8-42F2-4C49-A4D8-BA5B5AF75B7A}">
      <formula1>"KG, L"</formula1>
    </dataValidation>
    <dataValidation type="list" allowBlank="1" showInputMessage="1" showErrorMessage="1" sqref="D2:D11" xr:uid="{D2B05375-3588-42D9-8BB7-56B59A51B1EE}">
      <formula1>"MMCM - HOR, MMCM - CBA"</formula1>
    </dataValidation>
    <dataValidation type="list" allowBlank="1" showInputMessage="1" showErrorMessage="1" sqref="E2:E11" xr:uid="{41EB2888-F11E-456C-A00B-F6AF89D6614F}">
      <formula1>"MMCM - HOR, MMCM - CBA, NITRO"</formula1>
    </dataValidation>
    <dataValidation type="list" allowBlank="1" showInputMessage="1" showErrorMessage="1" sqref="A2:A11" xr:uid="{2E0B6B3D-1179-4B3F-8778-41DC49DAEC8D}">
      <formula1>"Rasgada /Amassada, Vazando"</formula1>
    </dataValidation>
    <dataValidation type="list" allowBlank="1" showInputMessage="1" showErrorMessage="1" sqref="P2:P13" xr:uid="{64D1ACFE-3253-446E-8F2A-2CB69C1560ED}">
      <formula1>"Sacaria, Bombona, Embalagem molhada, Válvula, Galão, IBC"</formula1>
    </dataValidation>
  </dataValidations>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8:J110"/>
  <sheetViews>
    <sheetView workbookViewId="0">
      <selection activeCell="D6" sqref="D6"/>
    </sheetView>
  </sheetViews>
  <sheetFormatPr defaultColWidth="20.77734375" defaultRowHeight="19.95" customHeight="1" x14ac:dyDescent="0.3"/>
  <cols>
    <col min="1" max="16384" width="20.77734375" style="2"/>
  </cols>
  <sheetData>
    <row r="8" spans="1:10" ht="19.95" customHeight="1" x14ac:dyDescent="0.3">
      <c r="A8"/>
      <c r="B8"/>
      <c r="C8"/>
      <c r="D8"/>
      <c r="E8"/>
      <c r="F8"/>
      <c r="G8"/>
      <c r="H8"/>
      <c r="I8"/>
      <c r="J8"/>
    </row>
    <row r="9" spans="1:10" ht="19.95" customHeight="1" x14ac:dyDescent="0.3">
      <c r="A9"/>
    </row>
    <row r="10" spans="1:10" ht="19.95" customHeight="1" x14ac:dyDescent="0.3">
      <c r="A10"/>
    </row>
    <row r="11" spans="1:10" ht="19.95" customHeight="1" x14ac:dyDescent="0.3">
      <c r="A11"/>
    </row>
    <row r="12" spans="1:10" ht="19.95" customHeight="1" x14ac:dyDescent="0.3">
      <c r="A12"/>
    </row>
    <row r="13" spans="1:10" ht="19.95" customHeight="1" x14ac:dyDescent="0.3">
      <c r="A13"/>
    </row>
    <row r="14" spans="1:10" ht="19.95" customHeight="1" x14ac:dyDescent="0.3">
      <c r="A14"/>
    </row>
    <row r="15" spans="1:10" ht="19.95" customHeight="1" x14ac:dyDescent="0.3">
      <c r="A15"/>
    </row>
    <row r="16" spans="1:10" ht="19.95" customHeight="1" x14ac:dyDescent="0.3">
      <c r="A16"/>
    </row>
    <row r="17" spans="1:1" ht="19.95" customHeight="1" x14ac:dyDescent="0.3">
      <c r="A17"/>
    </row>
    <row r="18" spans="1:1" ht="19.95" customHeight="1" x14ac:dyDescent="0.3">
      <c r="A18"/>
    </row>
    <row r="19" spans="1:1" ht="19.95" customHeight="1" x14ac:dyDescent="0.3">
      <c r="A19"/>
    </row>
    <row r="20" spans="1:1" ht="19.95" customHeight="1" x14ac:dyDescent="0.3">
      <c r="A20"/>
    </row>
    <row r="21" spans="1:1" ht="19.95" customHeight="1" x14ac:dyDescent="0.3">
      <c r="A21"/>
    </row>
    <row r="22" spans="1:1" ht="19.95" customHeight="1" x14ac:dyDescent="0.3">
      <c r="A22"/>
    </row>
    <row r="23" spans="1:1" ht="19.95" customHeight="1" x14ac:dyDescent="0.3">
      <c r="A23"/>
    </row>
    <row r="24" spans="1:1" ht="19.95" customHeight="1" x14ac:dyDescent="0.3">
      <c r="A24"/>
    </row>
    <row r="25" spans="1:1" ht="19.95" customHeight="1" x14ac:dyDescent="0.3">
      <c r="A25"/>
    </row>
    <row r="26" spans="1:1" ht="19.95" customHeight="1" x14ac:dyDescent="0.3">
      <c r="A26"/>
    </row>
    <row r="27" spans="1:1" ht="19.95" customHeight="1" x14ac:dyDescent="0.3">
      <c r="A27"/>
    </row>
    <row r="28" spans="1:1" ht="19.95" customHeight="1" x14ac:dyDescent="0.3">
      <c r="A28"/>
    </row>
    <row r="29" spans="1:1" ht="19.95" customHeight="1" x14ac:dyDescent="0.3">
      <c r="A29"/>
    </row>
    <row r="30" spans="1:1" ht="19.95" customHeight="1" x14ac:dyDescent="0.3">
      <c r="A30"/>
    </row>
    <row r="31" spans="1:1" ht="19.95" customHeight="1" x14ac:dyDescent="0.3">
      <c r="A31"/>
    </row>
    <row r="32" spans="1:1" ht="19.95" customHeight="1" x14ac:dyDescent="0.3">
      <c r="A32"/>
    </row>
    <row r="33" spans="1:1" ht="19.95" customHeight="1" x14ac:dyDescent="0.3">
      <c r="A33"/>
    </row>
    <row r="34" spans="1:1" ht="19.95" customHeight="1" x14ac:dyDescent="0.3">
      <c r="A34"/>
    </row>
    <row r="35" spans="1:1" ht="19.95" customHeight="1" x14ac:dyDescent="0.3">
      <c r="A35"/>
    </row>
    <row r="36" spans="1:1" ht="19.95" customHeight="1" x14ac:dyDescent="0.3">
      <c r="A36"/>
    </row>
    <row r="37" spans="1:1" ht="19.95" customHeight="1" x14ac:dyDescent="0.3">
      <c r="A37"/>
    </row>
    <row r="38" spans="1:1" ht="19.95" customHeight="1" x14ac:dyDescent="0.3">
      <c r="A38"/>
    </row>
    <row r="39" spans="1:1" ht="19.95" customHeight="1" x14ac:dyDescent="0.3">
      <c r="A39"/>
    </row>
    <row r="40" spans="1:1" ht="19.95" customHeight="1" x14ac:dyDescent="0.3">
      <c r="A40"/>
    </row>
    <row r="41" spans="1:1" ht="19.95" customHeight="1" x14ac:dyDescent="0.3">
      <c r="A41"/>
    </row>
    <row r="42" spans="1:1" ht="19.95" customHeight="1" x14ac:dyDescent="0.3">
      <c r="A42"/>
    </row>
    <row r="43" spans="1:1" ht="19.95" customHeight="1" x14ac:dyDescent="0.3">
      <c r="A43"/>
    </row>
    <row r="44" spans="1:1" ht="19.95" customHeight="1" x14ac:dyDescent="0.3">
      <c r="A44"/>
    </row>
    <row r="45" spans="1:1" ht="19.95" customHeight="1" x14ac:dyDescent="0.3">
      <c r="A45"/>
    </row>
    <row r="46" spans="1:1" ht="19.95" customHeight="1" x14ac:dyDescent="0.3">
      <c r="A46"/>
    </row>
    <row r="47" spans="1:1" ht="19.95" customHeight="1" x14ac:dyDescent="0.3">
      <c r="A47"/>
    </row>
    <row r="48" spans="1:1" ht="19.95" customHeight="1" x14ac:dyDescent="0.3">
      <c r="A48"/>
    </row>
    <row r="49" spans="1:1" ht="19.95" customHeight="1" x14ac:dyDescent="0.3">
      <c r="A49"/>
    </row>
    <row r="50" spans="1:1" ht="19.95" customHeight="1" x14ac:dyDescent="0.3">
      <c r="A50"/>
    </row>
    <row r="51" spans="1:1" ht="19.95" customHeight="1" x14ac:dyDescent="0.3">
      <c r="A51"/>
    </row>
    <row r="52" spans="1:1" ht="19.95" customHeight="1" x14ac:dyDescent="0.3">
      <c r="A52"/>
    </row>
    <row r="53" spans="1:1" ht="19.95" customHeight="1" x14ac:dyDescent="0.3">
      <c r="A53"/>
    </row>
    <row r="54" spans="1:1" ht="19.95" customHeight="1" x14ac:dyDescent="0.3">
      <c r="A54"/>
    </row>
    <row r="55" spans="1:1" ht="19.95" customHeight="1" x14ac:dyDescent="0.3">
      <c r="A55"/>
    </row>
    <row r="56" spans="1:1" ht="19.95" customHeight="1" x14ac:dyDescent="0.3">
      <c r="A56"/>
    </row>
    <row r="57" spans="1:1" ht="19.95" customHeight="1" x14ac:dyDescent="0.3">
      <c r="A57"/>
    </row>
    <row r="58" spans="1:1" ht="19.95" customHeight="1" x14ac:dyDescent="0.3">
      <c r="A58"/>
    </row>
    <row r="59" spans="1:1" ht="19.95" customHeight="1" x14ac:dyDescent="0.3">
      <c r="A59"/>
    </row>
    <row r="60" spans="1:1" ht="19.95" customHeight="1" x14ac:dyDescent="0.3">
      <c r="A60"/>
    </row>
    <row r="61" spans="1:1" ht="19.95" customHeight="1" x14ac:dyDescent="0.3">
      <c r="A61"/>
    </row>
    <row r="62" spans="1:1" ht="19.95" customHeight="1" x14ac:dyDescent="0.3">
      <c r="A62"/>
    </row>
    <row r="63" spans="1:1" ht="19.95" customHeight="1" x14ac:dyDescent="0.3">
      <c r="A63"/>
    </row>
    <row r="64" spans="1:1" ht="19.95" customHeight="1" x14ac:dyDescent="0.3">
      <c r="A64"/>
    </row>
    <row r="65" spans="1:1" ht="19.95" customHeight="1" x14ac:dyDescent="0.3">
      <c r="A65"/>
    </row>
    <row r="66" spans="1:1" ht="19.95" customHeight="1" x14ac:dyDescent="0.3">
      <c r="A66"/>
    </row>
    <row r="67" spans="1:1" ht="19.95" customHeight="1" x14ac:dyDescent="0.3">
      <c r="A67"/>
    </row>
    <row r="68" spans="1:1" ht="19.95" customHeight="1" x14ac:dyDescent="0.3">
      <c r="A68"/>
    </row>
    <row r="69" spans="1:1" ht="19.95" customHeight="1" x14ac:dyDescent="0.3">
      <c r="A69"/>
    </row>
    <row r="70" spans="1:1" ht="19.95" customHeight="1" x14ac:dyDescent="0.3">
      <c r="A70"/>
    </row>
    <row r="71" spans="1:1" ht="19.95" customHeight="1" x14ac:dyDescent="0.3">
      <c r="A71"/>
    </row>
    <row r="72" spans="1:1" ht="19.95" customHeight="1" x14ac:dyDescent="0.3">
      <c r="A72"/>
    </row>
    <row r="73" spans="1:1" ht="19.95" customHeight="1" x14ac:dyDescent="0.3">
      <c r="A73"/>
    </row>
    <row r="74" spans="1:1" ht="19.95" customHeight="1" x14ac:dyDescent="0.3">
      <c r="A74"/>
    </row>
    <row r="75" spans="1:1" ht="19.95" customHeight="1" x14ac:dyDescent="0.3">
      <c r="A75"/>
    </row>
    <row r="76" spans="1:1" ht="19.95" customHeight="1" x14ac:dyDescent="0.3">
      <c r="A76"/>
    </row>
    <row r="77" spans="1:1" ht="19.95" customHeight="1" x14ac:dyDescent="0.3">
      <c r="A77"/>
    </row>
    <row r="78" spans="1:1" ht="19.95" customHeight="1" x14ac:dyDescent="0.3">
      <c r="A78"/>
    </row>
    <row r="79" spans="1:1" ht="19.95" customHeight="1" x14ac:dyDescent="0.3">
      <c r="A79"/>
    </row>
    <row r="80" spans="1:1" ht="19.95" customHeight="1" x14ac:dyDescent="0.3">
      <c r="A80"/>
    </row>
    <row r="81" spans="1:1" ht="19.95" customHeight="1" x14ac:dyDescent="0.3">
      <c r="A81"/>
    </row>
    <row r="82" spans="1:1" ht="19.95" customHeight="1" x14ac:dyDescent="0.3">
      <c r="A82"/>
    </row>
    <row r="83" spans="1:1" ht="19.95" customHeight="1" x14ac:dyDescent="0.3">
      <c r="A83"/>
    </row>
    <row r="84" spans="1:1" ht="19.95" customHeight="1" x14ac:dyDescent="0.3">
      <c r="A84"/>
    </row>
    <row r="85" spans="1:1" ht="19.95" customHeight="1" x14ac:dyDescent="0.3">
      <c r="A85"/>
    </row>
    <row r="86" spans="1:1" ht="19.95" customHeight="1" x14ac:dyDescent="0.3">
      <c r="A86"/>
    </row>
    <row r="87" spans="1:1" ht="19.95" customHeight="1" x14ac:dyDescent="0.3">
      <c r="A87"/>
    </row>
    <row r="88" spans="1:1" ht="19.95" customHeight="1" x14ac:dyDescent="0.3">
      <c r="A88"/>
    </row>
    <row r="89" spans="1:1" ht="19.95" customHeight="1" x14ac:dyDescent="0.3">
      <c r="A89"/>
    </row>
    <row r="90" spans="1:1" ht="19.95" customHeight="1" x14ac:dyDescent="0.3">
      <c r="A90"/>
    </row>
    <row r="91" spans="1:1" ht="19.95" customHeight="1" x14ac:dyDescent="0.3">
      <c r="A91"/>
    </row>
    <row r="92" spans="1:1" ht="19.95" customHeight="1" x14ac:dyDescent="0.3">
      <c r="A92"/>
    </row>
    <row r="93" spans="1:1" ht="19.95" customHeight="1" x14ac:dyDescent="0.3">
      <c r="A93"/>
    </row>
    <row r="94" spans="1:1" ht="19.95" customHeight="1" x14ac:dyDescent="0.3">
      <c r="A94"/>
    </row>
    <row r="95" spans="1:1" ht="19.95" customHeight="1" x14ac:dyDescent="0.3">
      <c r="A95"/>
    </row>
    <row r="96" spans="1:1" ht="19.95" customHeight="1" x14ac:dyDescent="0.3">
      <c r="A96"/>
    </row>
    <row r="97" spans="1:1" ht="19.95" customHeight="1" x14ac:dyDescent="0.3">
      <c r="A97"/>
    </row>
    <row r="98" spans="1:1" ht="19.95" customHeight="1" x14ac:dyDescent="0.3">
      <c r="A98"/>
    </row>
    <row r="99" spans="1:1" ht="19.95" customHeight="1" x14ac:dyDescent="0.3">
      <c r="A99"/>
    </row>
    <row r="100" spans="1:1" ht="19.95" customHeight="1" x14ac:dyDescent="0.3">
      <c r="A100"/>
    </row>
    <row r="101" spans="1:1" ht="19.95" customHeight="1" x14ac:dyDescent="0.3">
      <c r="A101"/>
    </row>
    <row r="102" spans="1:1" ht="19.95" customHeight="1" x14ac:dyDescent="0.3">
      <c r="A102"/>
    </row>
    <row r="103" spans="1:1" ht="19.95" customHeight="1" x14ac:dyDescent="0.3">
      <c r="A103"/>
    </row>
    <row r="104" spans="1:1" ht="19.95" customHeight="1" x14ac:dyDescent="0.3">
      <c r="A104"/>
    </row>
    <row r="105" spans="1:1" ht="19.95" customHeight="1" x14ac:dyDescent="0.3">
      <c r="A105"/>
    </row>
    <row r="106" spans="1:1" ht="19.95" customHeight="1" x14ac:dyDescent="0.3">
      <c r="A106"/>
    </row>
    <row r="107" spans="1:1" ht="19.95" customHeight="1" x14ac:dyDescent="0.3">
      <c r="A107"/>
    </row>
    <row r="108" spans="1:1" ht="19.95" customHeight="1" x14ac:dyDescent="0.3">
      <c r="A108"/>
    </row>
    <row r="109" spans="1:1" ht="19.95" customHeight="1" x14ac:dyDescent="0.3">
      <c r="A109"/>
    </row>
    <row r="110" spans="1:1" ht="19.95" customHeight="1" x14ac:dyDescent="0.3">
      <c r="A11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Vieira | Nitro</cp:lastModifiedBy>
  <dcterms:created xsi:type="dcterms:W3CDTF">2015-06-05T18:19:34Z</dcterms:created>
  <dcterms:modified xsi:type="dcterms:W3CDTF">2026-04-28T19:19:19Z</dcterms:modified>
</cp:coreProperties>
</file>